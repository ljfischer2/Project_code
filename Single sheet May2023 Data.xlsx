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ef\Documents\Project stuff\LucasProject\Repo_Backup\Project_code\"/>
    </mc:Choice>
  </mc:AlternateContent>
  <xr:revisionPtr revIDLastSave="0" documentId="13_ncr:1_{ECEF9C73-75A4-439F-91A5-124FD8C80260}" xr6:coauthVersionLast="47" xr6:coauthVersionMax="47" xr10:uidLastSave="{00000000-0000-0000-0000-000000000000}"/>
  <bookViews>
    <workbookView xWindow="-24120" yWindow="-4020" windowWidth="24240" windowHeight="13020" activeTab="1" xr2:uid="{B2BB9978-D008-4886-AD29-AD3E6970A3E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0" i="1" l="1"/>
  <c r="S59" i="1"/>
  <c r="S60" i="1"/>
  <c r="S23" i="1"/>
  <c r="S15" i="1"/>
  <c r="S10" i="1"/>
  <c r="S7" i="1"/>
  <c r="S8" i="1"/>
  <c r="S30" i="1"/>
  <c r="S48" i="1"/>
  <c r="S61" i="1"/>
  <c r="S89" i="1"/>
  <c r="S90" i="1"/>
  <c r="S114" i="1"/>
  <c r="S115" i="1"/>
  <c r="S70" i="1"/>
  <c r="S81" i="1"/>
  <c r="S77" i="1"/>
  <c r="S34" i="1"/>
  <c r="S19" i="1"/>
  <c r="S20" i="1"/>
  <c r="S12" i="1"/>
  <c r="S14" i="1"/>
  <c r="S24" i="1"/>
  <c r="S25" i="1"/>
  <c r="S26" i="1"/>
  <c r="S27" i="1"/>
  <c r="S46" i="1"/>
  <c r="S38" i="1"/>
  <c r="S39" i="1"/>
  <c r="S103" i="1"/>
  <c r="S91" i="1"/>
  <c r="S92" i="1"/>
  <c r="S71" i="1"/>
  <c r="S40" i="1"/>
  <c r="S41" i="1"/>
  <c r="S42" i="1"/>
  <c r="S109" i="1"/>
  <c r="S2" i="1"/>
  <c r="S4" i="1"/>
  <c r="S3" i="1"/>
  <c r="S126" i="1"/>
  <c r="S127" i="1"/>
  <c r="S124" i="1"/>
  <c r="S120" i="1"/>
  <c r="S121" i="1"/>
  <c r="S101" i="1"/>
  <c r="S116" i="1"/>
  <c r="S112" i="1"/>
  <c r="S102" i="1"/>
  <c r="S93" i="1"/>
  <c r="S94" i="1"/>
  <c r="S125" i="1"/>
  <c r="S122" i="1"/>
  <c r="S123" i="1"/>
  <c r="S28" i="1"/>
  <c r="S16" i="1"/>
  <c r="S11" i="1"/>
  <c r="S6" i="1"/>
  <c r="S5" i="1"/>
  <c r="S9" i="1"/>
  <c r="S82" i="1"/>
  <c r="S64" i="1"/>
  <c r="S49" i="1"/>
  <c r="S43" i="1"/>
  <c r="S73" i="1"/>
  <c r="S50" i="1"/>
  <c r="S117" i="1"/>
  <c r="S118" i="1"/>
  <c r="S95" i="1"/>
  <c r="S97" i="1"/>
  <c r="S104" i="1"/>
  <c r="S98" i="1"/>
  <c r="S110" i="1"/>
  <c r="S111" i="1"/>
  <c r="S105" i="1"/>
  <c r="S106" i="1"/>
  <c r="S113" i="1"/>
  <c r="S119" i="1"/>
  <c r="S83" i="1"/>
  <c r="S72" i="1"/>
  <c r="S65" i="1"/>
  <c r="S84" i="1"/>
  <c r="S21" i="1"/>
  <c r="S45" i="1"/>
  <c r="S31" i="1"/>
  <c r="S32" i="1"/>
  <c r="S44" i="1"/>
  <c r="S35" i="1"/>
  <c r="S17" i="1"/>
  <c r="S29" i="1"/>
  <c r="S51" i="1"/>
  <c r="S52" i="1"/>
  <c r="S53" i="1"/>
  <c r="S54" i="1"/>
  <c r="S87" i="1"/>
  <c r="S57" i="1"/>
  <c r="S18" i="1"/>
  <c r="S33" i="1"/>
  <c r="S76" i="1"/>
  <c r="S85" i="1"/>
  <c r="S74" i="1"/>
  <c r="S75" i="1"/>
  <c r="S62" i="1"/>
  <c r="S47" i="1"/>
  <c r="S55" i="1"/>
  <c r="S56" i="1"/>
  <c r="S107" i="1"/>
  <c r="S96" i="1"/>
  <c r="S78" i="1"/>
  <c r="S36" i="1"/>
  <c r="S13" i="1"/>
  <c r="S22" i="1"/>
  <c r="S37" i="1"/>
  <c r="S88" i="1"/>
  <c r="S108" i="1"/>
  <c r="S79" i="1"/>
  <c r="S86" i="1"/>
  <c r="S63" i="1"/>
  <c r="S66" i="1"/>
  <c r="S58" i="1"/>
  <c r="S67" i="1"/>
  <c r="S68" i="1"/>
  <c r="S99" i="1"/>
  <c r="S100" i="1"/>
  <c r="S69" i="1"/>
  <c r="U10" i="1"/>
  <c r="U7" i="1"/>
  <c r="U4" i="1"/>
</calcChain>
</file>

<file path=xl/sharedStrings.xml><?xml version="1.0" encoding="utf-8"?>
<sst xmlns="http://schemas.openxmlformats.org/spreadsheetml/2006/main" count="297" uniqueCount="66">
  <si>
    <t>FishID</t>
  </si>
  <si>
    <t>Start_DO</t>
  </si>
  <si>
    <t>End_DO</t>
  </si>
  <si>
    <t>Start_temp</t>
  </si>
  <si>
    <t>End_temp</t>
  </si>
  <si>
    <t>End_time</t>
  </si>
  <si>
    <t>1mas</t>
  </si>
  <si>
    <t>2mas</t>
  </si>
  <si>
    <t>4mas</t>
  </si>
  <si>
    <t>5mas</t>
  </si>
  <si>
    <t>6mas</t>
  </si>
  <si>
    <t>7mas</t>
  </si>
  <si>
    <t>1itou</t>
  </si>
  <si>
    <t>2itou</t>
  </si>
  <si>
    <t>3itou</t>
  </si>
  <si>
    <t>5itou</t>
  </si>
  <si>
    <t>6itou</t>
  </si>
  <si>
    <t>7itou</t>
  </si>
  <si>
    <t>8itou</t>
  </si>
  <si>
    <t>9itou</t>
  </si>
  <si>
    <t>10itou</t>
  </si>
  <si>
    <t>1cha</t>
  </si>
  <si>
    <t>2cha</t>
  </si>
  <si>
    <t>3cha</t>
  </si>
  <si>
    <t>Species</t>
  </si>
  <si>
    <t>Length</t>
  </si>
  <si>
    <t>Weight</t>
  </si>
  <si>
    <t>Volume</t>
  </si>
  <si>
    <t>Trial</t>
  </si>
  <si>
    <t>Duration_hoursmins</t>
  </si>
  <si>
    <t>Duration_days</t>
  </si>
  <si>
    <t>delta_DO_mgL</t>
  </si>
  <si>
    <t>delta_DO_g</t>
  </si>
  <si>
    <t>Respiration_g_g_day</t>
  </si>
  <si>
    <t>Avg_temp</t>
  </si>
  <si>
    <t>Oncorhynchus masou</t>
  </si>
  <si>
    <t>Parahucho perryi</t>
  </si>
  <si>
    <t>Salvelinus leucomaenis</t>
  </si>
  <si>
    <t>Masou Avg.</t>
  </si>
  <si>
    <t>Ito Avg.</t>
  </si>
  <si>
    <t xml:space="preserve">Char Avg. </t>
  </si>
  <si>
    <t>Masou</t>
  </si>
  <si>
    <t>ito</t>
  </si>
  <si>
    <t>char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</si>
  <si>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</si>
  <si>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</si>
  <si>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</si>
  <si>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</si>
  <si>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</si>
  <si>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</si>
  <si>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</si>
  <si>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</si>
  <si>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</si>
  <si>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</si>
  <si>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</si>
  <si>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</si>
  <si>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</si>
  <si>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</si>
  <si>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</si>
  <si>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</si>
  <si>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</si>
  <si>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</si>
  <si>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</si>
  <si>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</si>
  <si>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</si>
  <si>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Delta_temp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</si>
</sst>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0" fontId="0" fillId="0" borderId="0" xfId="0" applyNumberFormat="1"/>
    <xf numFmtId="2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5A1E-CE4A-441F-B2B9-A3107CDC5860}">
  <dimension ref="A1:G15"/>
  <sheetViews>
    <sheetView workbookViewId="0">
      <selection activeCell="J16" sqref="J16"/>
    </sheetView>
  </sheetViews>
  <sheetFormatPr defaultRowHeight="14.4" x14ac:dyDescent="0.3"/>
  <sheetData>
    <row r="1" spans="1:7" x14ac:dyDescent="0.3">
      <c r="A1" t="s">
        <v>44</v>
      </c>
    </row>
    <row r="3" spans="1:7" ht="15" thickBot="1" x14ac:dyDescent="0.35">
      <c r="A3" t="s">
        <v>45</v>
      </c>
    </row>
    <row r="4" spans="1:7" x14ac:dyDescent="0.3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</row>
    <row r="5" spans="1:7" x14ac:dyDescent="0.3">
      <c r="A5" t="s">
        <v>51</v>
      </c>
      <c r="B5">
        <v>39</v>
      </c>
      <c r="C5">
        <v>0.23877614949795342</v>
      </c>
      <c r="D5">
        <v>6.1224653717423952E-3</v>
      </c>
      <c r="E5">
        <v>5.4937261264824307E-6</v>
      </c>
    </row>
    <row r="6" spans="1:7" x14ac:dyDescent="0.3">
      <c r="A6" t="s">
        <v>52</v>
      </c>
      <c r="B6">
        <v>71</v>
      </c>
      <c r="C6">
        <v>0.54928979571594061</v>
      </c>
      <c r="D6">
        <v>7.7364759959991638E-3</v>
      </c>
      <c r="E6">
        <v>2.6705201981185646E-6</v>
      </c>
    </row>
    <row r="7" spans="1:7" ht="15" thickBot="1" x14ac:dyDescent="0.35">
      <c r="A7" s="4" t="s">
        <v>53</v>
      </c>
      <c r="B7" s="4">
        <v>16</v>
      </c>
      <c r="C7" s="4">
        <v>6.4935064363996473E-2</v>
      </c>
      <c r="D7" s="4">
        <v>4.0584415227497795E-3</v>
      </c>
      <c r="E7" s="4">
        <v>1.3250689753439367E-6</v>
      </c>
    </row>
    <row r="10" spans="1:7" ht="15" thickBot="1" x14ac:dyDescent="0.35">
      <c r="A10" t="s">
        <v>54</v>
      </c>
    </row>
    <row r="11" spans="1:7" x14ac:dyDescent="0.3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  <c r="G11" s="5" t="s">
        <v>61</v>
      </c>
    </row>
    <row r="12" spans="1:7" x14ac:dyDescent="0.3">
      <c r="A12" t="s">
        <v>62</v>
      </c>
      <c r="B12">
        <v>2.0031291525330795E-4</v>
      </c>
      <c r="C12">
        <v>2</v>
      </c>
      <c r="D12">
        <v>1.0015645762665397E-4</v>
      </c>
      <c r="E12">
        <v>29.643921572674078</v>
      </c>
      <c r="F12">
        <v>3.1086040889228957E-11</v>
      </c>
      <c r="G12">
        <v>3.0698942378503262</v>
      </c>
    </row>
    <row r="13" spans="1:7" x14ac:dyDescent="0.3">
      <c r="A13" t="s">
        <v>63</v>
      </c>
      <c r="B13">
        <v>4.155740413047909E-4</v>
      </c>
      <c r="C13">
        <v>123</v>
      </c>
      <c r="D13">
        <v>3.378650742315373E-6</v>
      </c>
    </row>
    <row r="15" spans="1:7" ht="15" thickBot="1" x14ac:dyDescent="0.35">
      <c r="A15" s="4" t="s">
        <v>64</v>
      </c>
      <c r="B15" s="4">
        <v>6.1588695655809885E-4</v>
      </c>
      <c r="C15" s="4">
        <v>125</v>
      </c>
      <c r="D15" s="4"/>
      <c r="E15" s="4"/>
      <c r="F15" s="4"/>
      <c r="G15" s="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9FF0-2235-4DA3-8ED8-44AD23702AC2}">
  <dimension ref="B1:Y127"/>
  <sheetViews>
    <sheetView tabSelected="1" zoomScaleNormal="100" workbookViewId="0">
      <selection activeCell="A2" sqref="A2:S4"/>
    </sheetView>
  </sheetViews>
  <sheetFormatPr defaultRowHeight="14.4" x14ac:dyDescent="0.3"/>
  <sheetData>
    <row r="1" spans="2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65</v>
      </c>
      <c r="W1" t="s">
        <v>41</v>
      </c>
      <c r="X1" t="s">
        <v>42</v>
      </c>
      <c r="Y1" t="s">
        <v>43</v>
      </c>
    </row>
    <row r="2" spans="2:25" x14ac:dyDescent="0.3">
      <c r="B2" t="s">
        <v>12</v>
      </c>
      <c r="C2" s="3">
        <v>9.94</v>
      </c>
      <c r="D2" s="3">
        <v>7.18</v>
      </c>
      <c r="E2" s="1">
        <v>14.4</v>
      </c>
      <c r="F2" s="1">
        <v>17.899999999999999</v>
      </c>
      <c r="G2" s="2">
        <v>0.74305555555555547</v>
      </c>
      <c r="H2" t="s">
        <v>36</v>
      </c>
      <c r="I2">
        <v>76</v>
      </c>
      <c r="J2">
        <v>3.4</v>
      </c>
      <c r="K2">
        <v>582</v>
      </c>
      <c r="L2">
        <v>1</v>
      </c>
      <c r="M2">
        <v>6.4583333333333215E-2</v>
      </c>
      <c r="N2">
        <v>6.4583333333333215E-2</v>
      </c>
      <c r="O2">
        <v>2.76</v>
      </c>
      <c r="P2">
        <v>1.6063199999999998E-3</v>
      </c>
      <c r="Q2">
        <v>7.3153092979127256E-3</v>
      </c>
      <c r="R2">
        <v>16.149999999999999</v>
      </c>
      <c r="S2" s="1">
        <f>F2-E2</f>
        <v>3.4999999999999982</v>
      </c>
      <c r="W2">
        <v>2.6637154150197634E-3</v>
      </c>
      <c r="X2">
        <v>7.3153092979127256E-3</v>
      </c>
      <c r="Y2">
        <v>2.1540893888719959E-3</v>
      </c>
    </row>
    <row r="3" spans="2:25" x14ac:dyDescent="0.3">
      <c r="B3" t="s">
        <v>14</v>
      </c>
      <c r="C3">
        <v>9.6199999999999992</v>
      </c>
      <c r="D3">
        <v>5.8</v>
      </c>
      <c r="E3" s="1">
        <v>14.9</v>
      </c>
      <c r="F3" s="1">
        <v>18.399999999999999</v>
      </c>
      <c r="G3" s="2">
        <v>0.74722222222222223</v>
      </c>
      <c r="H3" t="s">
        <v>36</v>
      </c>
      <c r="I3">
        <v>66</v>
      </c>
      <c r="J3">
        <v>2.2999999999999998</v>
      </c>
      <c r="K3">
        <v>362</v>
      </c>
      <c r="L3">
        <v>1</v>
      </c>
      <c r="M3">
        <v>6.597222222222221E-2</v>
      </c>
      <c r="N3">
        <v>6.597222222222221E-2</v>
      </c>
      <c r="O3">
        <v>3.8199999999999994</v>
      </c>
      <c r="P3">
        <v>1.3828399999999998E-3</v>
      </c>
      <c r="Q3">
        <v>9.1134535469107568E-3</v>
      </c>
      <c r="R3">
        <v>16.649999999999999</v>
      </c>
      <c r="S3" s="1">
        <f>F3-E3</f>
        <v>3.4999999999999982</v>
      </c>
      <c r="U3" t="s">
        <v>38</v>
      </c>
      <c r="W3">
        <v>2.4005172413793089E-3</v>
      </c>
      <c r="X3">
        <v>7.4580175953079201E-3</v>
      </c>
      <c r="Y3">
        <v>2.6541458541458523E-3</v>
      </c>
    </row>
    <row r="4" spans="2:25" x14ac:dyDescent="0.3">
      <c r="B4" t="s">
        <v>13</v>
      </c>
      <c r="C4">
        <v>8.9700000000000006</v>
      </c>
      <c r="D4">
        <v>6.36</v>
      </c>
      <c r="E4" s="1">
        <v>14.9</v>
      </c>
      <c r="F4" s="1">
        <v>18.100000000000001</v>
      </c>
      <c r="G4" s="2">
        <v>0.74444444444444446</v>
      </c>
      <c r="H4" t="s">
        <v>36</v>
      </c>
      <c r="I4">
        <v>67</v>
      </c>
      <c r="J4">
        <v>2.2000000000000002</v>
      </c>
      <c r="K4">
        <v>406</v>
      </c>
      <c r="L4">
        <v>1</v>
      </c>
      <c r="M4">
        <v>6.4583333333333326E-2</v>
      </c>
      <c r="N4">
        <v>6.4583333333333326E-2</v>
      </c>
      <c r="O4">
        <v>2.6100000000000003</v>
      </c>
      <c r="P4">
        <v>1.0596600000000002E-3</v>
      </c>
      <c r="Q4">
        <v>7.4580175953079201E-3</v>
      </c>
      <c r="R4">
        <v>16.5</v>
      </c>
      <c r="S4" s="1">
        <f>F4-E4</f>
        <v>3.2000000000000011</v>
      </c>
      <c r="U4">
        <f>AVERAGE(Q2:Q40)</f>
        <v>6.1732203975530028E-3</v>
      </c>
      <c r="W4">
        <v>3.2651995409919629E-3</v>
      </c>
      <c r="X4">
        <v>9.1134535469107568E-3</v>
      </c>
      <c r="Y4">
        <v>2.7411670296916164E-3</v>
      </c>
    </row>
    <row r="5" spans="2:25" x14ac:dyDescent="0.3">
      <c r="B5" t="s">
        <v>13</v>
      </c>
      <c r="C5">
        <v>9.5299999999999994</v>
      </c>
      <c r="D5">
        <v>8.1</v>
      </c>
      <c r="E5" s="1">
        <v>14.8</v>
      </c>
      <c r="F5" s="1">
        <v>16.7</v>
      </c>
      <c r="G5" s="2">
        <v>0.50555555555555554</v>
      </c>
      <c r="H5" t="s">
        <v>36</v>
      </c>
      <c r="I5">
        <v>67</v>
      </c>
      <c r="J5">
        <v>2.2000000000000002</v>
      </c>
      <c r="K5">
        <v>406</v>
      </c>
      <c r="L5">
        <v>7</v>
      </c>
      <c r="M5">
        <v>3.7500000000000033E-2</v>
      </c>
      <c r="N5">
        <v>3.7500000000000033E-2</v>
      </c>
      <c r="O5">
        <v>1.4299999999999997</v>
      </c>
      <c r="P5">
        <v>5.8057999999999992E-4</v>
      </c>
      <c r="Q5">
        <v>7.037333333333326E-3</v>
      </c>
      <c r="R5">
        <v>15.75</v>
      </c>
      <c r="S5" s="1">
        <f>F5-E5</f>
        <v>1.8999999999999986</v>
      </c>
      <c r="W5">
        <v>2.4086464230571331E-3</v>
      </c>
      <c r="X5">
        <v>6.0253997879109204E-3</v>
      </c>
      <c r="Y5">
        <v>4.6043660687138926E-3</v>
      </c>
    </row>
    <row r="6" spans="2:25" x14ac:dyDescent="0.3">
      <c r="B6" t="s">
        <v>12</v>
      </c>
      <c r="C6">
        <v>9.0299999999999994</v>
      </c>
      <c r="D6">
        <v>7.67</v>
      </c>
      <c r="E6" s="1">
        <v>14.8</v>
      </c>
      <c r="F6" s="1">
        <v>16.600000000000001</v>
      </c>
      <c r="G6" s="2">
        <v>0.50416666666666665</v>
      </c>
      <c r="H6" t="s">
        <v>36</v>
      </c>
      <c r="I6">
        <v>76</v>
      </c>
      <c r="J6">
        <v>3.4</v>
      </c>
      <c r="K6">
        <v>582</v>
      </c>
      <c r="L6">
        <v>8</v>
      </c>
      <c r="M6">
        <v>3.7500000000000033E-2</v>
      </c>
      <c r="N6">
        <v>3.7500000000000033E-2</v>
      </c>
      <c r="O6">
        <v>1.3599999999999994</v>
      </c>
      <c r="P6">
        <v>7.9151999999999966E-4</v>
      </c>
      <c r="Q6">
        <v>6.2079999999999922E-3</v>
      </c>
      <c r="R6">
        <v>15.700000000000001</v>
      </c>
      <c r="S6" s="1">
        <f>F6-E6</f>
        <v>1.8000000000000007</v>
      </c>
      <c r="U6" t="s">
        <v>39</v>
      </c>
      <c r="W6">
        <v>3.317536471433697E-3</v>
      </c>
      <c r="X6">
        <v>7.1483294117646754E-3</v>
      </c>
      <c r="Y6">
        <v>3.7158041958041945E-3</v>
      </c>
    </row>
    <row r="7" spans="2:25" x14ac:dyDescent="0.3">
      <c r="B7" t="s">
        <v>7</v>
      </c>
      <c r="C7">
        <v>6.78</v>
      </c>
      <c r="D7">
        <v>5.23</v>
      </c>
      <c r="E7" s="1">
        <v>12.8</v>
      </c>
      <c r="F7" s="1">
        <v>14.4</v>
      </c>
      <c r="G7" s="2">
        <v>0.52013888888888882</v>
      </c>
      <c r="H7" t="s">
        <v>35</v>
      </c>
      <c r="I7">
        <v>142</v>
      </c>
      <c r="J7">
        <v>26.1</v>
      </c>
      <c r="K7">
        <v>2340</v>
      </c>
      <c r="L7">
        <v>4</v>
      </c>
      <c r="M7">
        <v>4.2361111111111016E-2</v>
      </c>
      <c r="N7">
        <v>4.2361111111111016E-2</v>
      </c>
      <c r="O7">
        <v>1.5499999999999998</v>
      </c>
      <c r="P7">
        <v>3.6269999999999991E-3</v>
      </c>
      <c r="Q7">
        <v>3.2804974561899442E-3</v>
      </c>
      <c r="R7">
        <v>13.600000000000001</v>
      </c>
      <c r="S7" s="1">
        <f>F7-E7</f>
        <v>1.5999999999999996</v>
      </c>
      <c r="U7">
        <f>AVERAGE(Q41:Q111)</f>
        <v>6.7486023844707055E-3</v>
      </c>
      <c r="W7">
        <v>3.0045893416927919E-3</v>
      </c>
      <c r="X7">
        <v>8.4785454545454556E-3</v>
      </c>
      <c r="Y7">
        <v>5.5737062937063148E-3</v>
      </c>
    </row>
    <row r="8" spans="2:25" x14ac:dyDescent="0.3">
      <c r="B8" t="s">
        <v>6</v>
      </c>
      <c r="C8">
        <v>7.65</v>
      </c>
      <c r="D8">
        <v>5.47</v>
      </c>
      <c r="E8" s="1">
        <v>16.8</v>
      </c>
      <c r="F8" s="1">
        <v>18.3</v>
      </c>
      <c r="G8" s="2">
        <v>0.59097222222222223</v>
      </c>
      <c r="H8" t="s">
        <v>35</v>
      </c>
      <c r="I8">
        <v>142</v>
      </c>
      <c r="J8">
        <v>25.3</v>
      </c>
      <c r="K8">
        <v>2340</v>
      </c>
      <c r="L8">
        <v>5</v>
      </c>
      <c r="M8">
        <v>3.125E-2</v>
      </c>
      <c r="N8">
        <v>3.125E-2</v>
      </c>
      <c r="O8">
        <v>2.1800000000000006</v>
      </c>
      <c r="P8">
        <v>5.101200000000001E-3</v>
      </c>
      <c r="Q8">
        <v>6.4521106719367602E-3</v>
      </c>
      <c r="R8">
        <v>17.55</v>
      </c>
      <c r="S8" s="1">
        <f>F8-E8</f>
        <v>1.5</v>
      </c>
      <c r="W8">
        <v>3.8864044579796637E-3</v>
      </c>
      <c r="X8">
        <v>7.9960286944045882E-3</v>
      </c>
      <c r="Y8">
        <v>4.9262555626191995E-3</v>
      </c>
    </row>
    <row r="9" spans="2:25" x14ac:dyDescent="0.3">
      <c r="B9" t="s">
        <v>14</v>
      </c>
      <c r="C9">
        <v>9.93</v>
      </c>
      <c r="D9">
        <v>8.25</v>
      </c>
      <c r="E9" s="1">
        <v>14.9</v>
      </c>
      <c r="F9" s="1">
        <v>16.399999999999999</v>
      </c>
      <c r="G9" s="2">
        <v>0.5083333333333333</v>
      </c>
      <c r="H9" t="s">
        <v>36</v>
      </c>
      <c r="I9">
        <v>66</v>
      </c>
      <c r="J9">
        <v>2.2999999999999998</v>
      </c>
      <c r="K9">
        <v>362</v>
      </c>
      <c r="L9">
        <v>8</v>
      </c>
      <c r="M9">
        <v>3.8888888888888806E-2</v>
      </c>
      <c r="N9">
        <v>3.8888888888888806E-2</v>
      </c>
      <c r="O9">
        <v>1.6799999999999997</v>
      </c>
      <c r="P9">
        <v>6.0815999999999995E-4</v>
      </c>
      <c r="Q9">
        <v>6.7993043478261021E-3</v>
      </c>
      <c r="R9">
        <v>15.649999999999999</v>
      </c>
      <c r="S9" s="1">
        <f>F9-E9</f>
        <v>1.4999999999999982</v>
      </c>
      <c r="U9" t="s">
        <v>40</v>
      </c>
      <c r="W9">
        <v>3.2804974561899442E-3</v>
      </c>
      <c r="X9">
        <v>7.6284878048780399E-3</v>
      </c>
      <c r="Y9">
        <v>4.2723281250000023E-3</v>
      </c>
    </row>
    <row r="10" spans="2:25" x14ac:dyDescent="0.3">
      <c r="B10" t="s">
        <v>6</v>
      </c>
      <c r="C10">
        <v>8.4</v>
      </c>
      <c r="D10">
        <v>6.62</v>
      </c>
      <c r="E10" s="1">
        <v>13</v>
      </c>
      <c r="F10" s="1">
        <v>14.3</v>
      </c>
      <c r="G10" s="2">
        <v>0.51736111111111105</v>
      </c>
      <c r="H10" t="s">
        <v>35</v>
      </c>
      <c r="I10">
        <v>142</v>
      </c>
      <c r="J10">
        <v>25.3</v>
      </c>
      <c r="K10">
        <v>2340</v>
      </c>
      <c r="L10">
        <v>4</v>
      </c>
      <c r="M10">
        <v>4.2361111111111016E-2</v>
      </c>
      <c r="N10">
        <v>4.2361111111111016E-2</v>
      </c>
      <c r="O10">
        <v>1.7800000000000002</v>
      </c>
      <c r="P10">
        <v>4.1652000000000008E-3</v>
      </c>
      <c r="Q10">
        <v>3.8864044579796637E-3</v>
      </c>
      <c r="R10">
        <v>13.65</v>
      </c>
      <c r="S10" s="1">
        <f>F10-E10</f>
        <v>1.3000000000000007</v>
      </c>
      <c r="U10">
        <f>AVERAGE(Q112:Q127)</f>
        <v>8.3184152984939544E-3</v>
      </c>
      <c r="W10">
        <v>6.4521106719367602E-3</v>
      </c>
      <c r="X10">
        <v>7.1174004576659046E-3</v>
      </c>
      <c r="Y10">
        <v>3.3942770831585146E-3</v>
      </c>
    </row>
    <row r="11" spans="2:25" x14ac:dyDescent="0.3">
      <c r="B11" t="s">
        <v>14</v>
      </c>
      <c r="C11">
        <v>7.12</v>
      </c>
      <c r="D11">
        <v>5.69</v>
      </c>
      <c r="E11" s="1">
        <v>14</v>
      </c>
      <c r="F11" s="1">
        <v>15.2</v>
      </c>
      <c r="G11" s="2">
        <v>0.4381944444444445</v>
      </c>
      <c r="H11" t="s">
        <v>36</v>
      </c>
      <c r="I11">
        <v>66</v>
      </c>
      <c r="J11">
        <v>2.2999999999999998</v>
      </c>
      <c r="K11">
        <v>362</v>
      </c>
      <c r="L11">
        <v>7</v>
      </c>
      <c r="M11">
        <v>3.7500000000000033E-2</v>
      </c>
      <c r="N11">
        <v>3.7500000000000033E-2</v>
      </c>
      <c r="O11">
        <v>1.4299999999999997</v>
      </c>
      <c r="P11">
        <v>5.1765999999999987E-4</v>
      </c>
      <c r="Q11">
        <v>6.0018550724637611E-3</v>
      </c>
      <c r="R11">
        <v>14.6</v>
      </c>
      <c r="S11" s="1">
        <f>F11-E11</f>
        <v>1.1999999999999993</v>
      </c>
      <c r="W11">
        <v>5.2788965517241394E-3</v>
      </c>
      <c r="X11">
        <v>6.6777497326203092E-3</v>
      </c>
      <c r="Y11">
        <v>4.7151933962264192E-3</v>
      </c>
    </row>
    <row r="12" spans="2:25" x14ac:dyDescent="0.3">
      <c r="B12" t="s">
        <v>8</v>
      </c>
      <c r="C12">
        <v>8.7799999999999994</v>
      </c>
      <c r="D12">
        <v>6.78</v>
      </c>
      <c r="E12" s="1">
        <v>17.2</v>
      </c>
      <c r="F12" s="1">
        <v>18.3</v>
      </c>
      <c r="G12" s="2">
        <v>0.51041666666666663</v>
      </c>
      <c r="H12" t="s">
        <v>35</v>
      </c>
      <c r="I12">
        <v>115</v>
      </c>
      <c r="J12">
        <v>13</v>
      </c>
      <c r="K12">
        <v>1370</v>
      </c>
      <c r="L12">
        <v>3</v>
      </c>
      <c r="M12">
        <v>2.9861111111111061E-2</v>
      </c>
      <c r="N12">
        <v>2.9861111111111061E-2</v>
      </c>
      <c r="O12">
        <v>1.9999999999999991</v>
      </c>
      <c r="P12">
        <v>2.7399999999999989E-3</v>
      </c>
      <c r="Q12">
        <v>7.0583184257602951E-3</v>
      </c>
      <c r="R12">
        <v>17.75</v>
      </c>
      <c r="S12" s="1">
        <f>F12-E12</f>
        <v>1.1000000000000014</v>
      </c>
      <c r="W12">
        <v>6.3548639186899987E-3</v>
      </c>
      <c r="X12">
        <v>1.0774770247933885E-2</v>
      </c>
      <c r="Y12">
        <v>3.2661911554921512E-3</v>
      </c>
    </row>
    <row r="13" spans="2:25" x14ac:dyDescent="0.3">
      <c r="B13" t="s">
        <v>21</v>
      </c>
      <c r="C13">
        <v>8.23</v>
      </c>
      <c r="D13">
        <v>6.88</v>
      </c>
      <c r="E13" s="1">
        <v>12.7</v>
      </c>
      <c r="F13" s="1">
        <v>13.8</v>
      </c>
      <c r="G13" s="2">
        <v>0.51527777777777783</v>
      </c>
      <c r="H13" t="s">
        <v>37</v>
      </c>
      <c r="I13">
        <v>163</v>
      </c>
      <c r="J13">
        <v>42.9</v>
      </c>
      <c r="K13">
        <v>3690</v>
      </c>
      <c r="L13">
        <v>3</v>
      </c>
      <c r="M13">
        <v>4.2361111111111183E-2</v>
      </c>
      <c r="N13">
        <v>4.2361111111111183E-2</v>
      </c>
      <c r="O13">
        <v>1.3500000000000005</v>
      </c>
      <c r="P13">
        <v>4.9815000000000024E-3</v>
      </c>
      <c r="Q13">
        <v>2.7411670296916164E-3</v>
      </c>
      <c r="R13">
        <v>13.25</v>
      </c>
      <c r="S13" s="1">
        <f>F13-E13</f>
        <v>1.1000000000000014</v>
      </c>
      <c r="W13">
        <v>6.4193103448275807E-3</v>
      </c>
      <c r="X13">
        <v>5.4956065573770483E-3</v>
      </c>
      <c r="Y13">
        <v>4.7420048076923021E-3</v>
      </c>
    </row>
    <row r="14" spans="2:25" x14ac:dyDescent="0.3">
      <c r="B14" t="s">
        <v>9</v>
      </c>
      <c r="C14">
        <v>8.44</v>
      </c>
      <c r="D14">
        <v>6.43</v>
      </c>
      <c r="E14" s="1">
        <v>17.3</v>
      </c>
      <c r="F14" s="1">
        <v>18.399999999999999</v>
      </c>
      <c r="G14" s="2">
        <v>0.51250000000000007</v>
      </c>
      <c r="H14" t="s">
        <v>35</v>
      </c>
      <c r="I14">
        <v>116</v>
      </c>
      <c r="J14">
        <v>13.5</v>
      </c>
      <c r="K14">
        <v>1370</v>
      </c>
      <c r="L14">
        <v>3</v>
      </c>
      <c r="M14">
        <v>2.9861111111111172E-2</v>
      </c>
      <c r="N14">
        <v>2.9861111111111172E-2</v>
      </c>
      <c r="O14">
        <v>2.0099999999999998</v>
      </c>
      <c r="P14">
        <v>2.7537E-3</v>
      </c>
      <c r="Q14">
        <v>6.8308837209302186E-3</v>
      </c>
      <c r="R14">
        <v>17.850000000000001</v>
      </c>
      <c r="S14" s="1">
        <f>F14-E14</f>
        <v>1.0999999999999979</v>
      </c>
      <c r="W14">
        <v>6.5442092746729975E-3</v>
      </c>
      <c r="X14">
        <v>4.4282648829431477E-3</v>
      </c>
      <c r="Y14">
        <v>4.0199275759903435E-3</v>
      </c>
    </row>
    <row r="15" spans="2:25" x14ac:dyDescent="0.3">
      <c r="B15" t="s">
        <v>7</v>
      </c>
      <c r="C15">
        <v>7.08</v>
      </c>
      <c r="D15">
        <v>5.8</v>
      </c>
      <c r="E15" s="1">
        <v>10.9</v>
      </c>
      <c r="F15" s="1">
        <v>11.9</v>
      </c>
      <c r="G15" s="2">
        <v>0.44722222222222219</v>
      </c>
      <c r="H15" t="s">
        <v>35</v>
      </c>
      <c r="I15">
        <v>142</v>
      </c>
      <c r="J15">
        <v>26.1</v>
      </c>
      <c r="K15">
        <v>2340</v>
      </c>
      <c r="L15">
        <v>3</v>
      </c>
      <c r="M15">
        <v>3.819444444444442E-2</v>
      </c>
      <c r="N15">
        <v>3.819444444444442E-2</v>
      </c>
      <c r="O15">
        <v>1.2800000000000002</v>
      </c>
      <c r="P15">
        <v>2.9952000000000004E-3</v>
      </c>
      <c r="Q15">
        <v>3.0045893416927919E-3</v>
      </c>
      <c r="R15">
        <v>11.4</v>
      </c>
      <c r="S15" s="1">
        <f>F15-E15</f>
        <v>1</v>
      </c>
      <c r="W15">
        <v>8.2131225296442206E-3</v>
      </c>
      <c r="X15">
        <v>1.0990151001540832E-2</v>
      </c>
      <c r="Y15">
        <v>3.6487180475768162E-3</v>
      </c>
    </row>
    <row r="16" spans="2:25" x14ac:dyDescent="0.3">
      <c r="B16" t="s">
        <v>13</v>
      </c>
      <c r="C16">
        <v>9.5299999999999994</v>
      </c>
      <c r="D16">
        <v>7.76</v>
      </c>
      <c r="E16" s="1">
        <v>13.9</v>
      </c>
      <c r="F16" s="1">
        <v>14.9</v>
      </c>
      <c r="G16" s="2">
        <v>0.43333333333333335</v>
      </c>
      <c r="H16" t="s">
        <v>36</v>
      </c>
      <c r="I16">
        <v>67</v>
      </c>
      <c r="J16">
        <v>2.2000000000000002</v>
      </c>
      <c r="K16">
        <v>406</v>
      </c>
      <c r="L16">
        <v>6</v>
      </c>
      <c r="M16">
        <v>3.6111111111111149E-2</v>
      </c>
      <c r="N16">
        <v>3.6111111111111149E-2</v>
      </c>
      <c r="O16">
        <v>1.7699999999999996</v>
      </c>
      <c r="P16">
        <v>7.1861999999999989E-4</v>
      </c>
      <c r="Q16">
        <v>9.045566433566422E-3</v>
      </c>
      <c r="R16">
        <v>14.4</v>
      </c>
      <c r="S16" s="1">
        <f>F16-E16</f>
        <v>1</v>
      </c>
      <c r="W16">
        <v>7.537103844771801E-3</v>
      </c>
      <c r="X16">
        <v>8.9453510436432598E-3</v>
      </c>
      <c r="Y16">
        <v>6.6745588235293928E-3</v>
      </c>
    </row>
    <row r="17" spans="2:25" x14ac:dyDescent="0.3">
      <c r="B17" t="s">
        <v>17</v>
      </c>
      <c r="C17">
        <v>9.11</v>
      </c>
      <c r="D17">
        <v>5.85</v>
      </c>
      <c r="E17" s="1">
        <v>16.600000000000001</v>
      </c>
      <c r="F17" s="1">
        <v>17.600000000000001</v>
      </c>
      <c r="G17" s="2">
        <v>0.52500000000000002</v>
      </c>
      <c r="H17" t="s">
        <v>36</v>
      </c>
      <c r="I17">
        <v>83</v>
      </c>
      <c r="J17">
        <v>4.7</v>
      </c>
      <c r="K17">
        <v>384</v>
      </c>
      <c r="L17">
        <v>6</v>
      </c>
      <c r="M17">
        <v>3.1944444444444442E-2</v>
      </c>
      <c r="N17">
        <v>3.1944444444444442E-2</v>
      </c>
      <c r="O17">
        <v>3.26</v>
      </c>
      <c r="P17">
        <v>1.2518399999999999E-3</v>
      </c>
      <c r="Q17">
        <v>8.3378797409805749E-3</v>
      </c>
      <c r="R17">
        <v>17.100000000000001</v>
      </c>
      <c r="S17" s="1">
        <f>F17-E17</f>
        <v>1</v>
      </c>
      <c r="W17">
        <v>6.455172413793126E-3</v>
      </c>
      <c r="X17">
        <v>1.1701372434017608E-2</v>
      </c>
      <c r="Y17">
        <v>3.8323309557774621E-3</v>
      </c>
    </row>
    <row r="18" spans="2:25" x14ac:dyDescent="0.3">
      <c r="B18" t="s">
        <v>17</v>
      </c>
      <c r="C18">
        <v>8.5</v>
      </c>
      <c r="D18">
        <v>4.97</v>
      </c>
      <c r="E18" s="1">
        <v>19.2</v>
      </c>
      <c r="F18" s="1">
        <v>20.100000000000001</v>
      </c>
      <c r="G18" s="2">
        <v>0.6694444444444444</v>
      </c>
      <c r="H18" t="s">
        <v>36</v>
      </c>
      <c r="I18">
        <v>83</v>
      </c>
      <c r="J18">
        <v>4.7</v>
      </c>
      <c r="K18">
        <v>384</v>
      </c>
      <c r="L18">
        <v>8</v>
      </c>
      <c r="M18">
        <v>3.4027777777777768E-2</v>
      </c>
      <c r="N18">
        <v>3.4027777777777768E-2</v>
      </c>
      <c r="O18">
        <v>3.5300000000000002</v>
      </c>
      <c r="P18">
        <v>1.35552E-3</v>
      </c>
      <c r="Q18">
        <v>8.4756786799826331E-3</v>
      </c>
      <c r="R18">
        <v>19.649999999999999</v>
      </c>
      <c r="S18" s="1">
        <f>F18-E18</f>
        <v>0.90000000000000213</v>
      </c>
      <c r="W18">
        <v>4.6311087533156495E-3</v>
      </c>
      <c r="X18">
        <v>8.3226457590876782E-3</v>
      </c>
    </row>
    <row r="19" spans="2:25" x14ac:dyDescent="0.3">
      <c r="B19" t="s">
        <v>9</v>
      </c>
      <c r="C19">
        <v>9.09</v>
      </c>
      <c r="D19">
        <v>6.8</v>
      </c>
      <c r="E19" s="1">
        <v>14.4</v>
      </c>
      <c r="F19" s="1">
        <v>15.3</v>
      </c>
      <c r="G19" s="2">
        <v>0.41597222222222219</v>
      </c>
      <c r="H19" t="s">
        <v>35</v>
      </c>
      <c r="I19">
        <v>116</v>
      </c>
      <c r="J19">
        <v>13.5</v>
      </c>
      <c r="K19">
        <v>1370</v>
      </c>
      <c r="L19">
        <v>2</v>
      </c>
      <c r="M19">
        <v>4.3749999999999956E-2</v>
      </c>
      <c r="N19">
        <v>4.3749999999999956E-2</v>
      </c>
      <c r="O19">
        <v>2.29</v>
      </c>
      <c r="P19">
        <v>3.1373E-3</v>
      </c>
      <c r="Q19">
        <v>5.3118306878306935E-3</v>
      </c>
      <c r="R19">
        <v>14.850000000000001</v>
      </c>
      <c r="S19" s="1">
        <f>F19-E19</f>
        <v>0.90000000000000036</v>
      </c>
      <c r="W19">
        <v>5.0249356725146146E-3</v>
      </c>
      <c r="X19">
        <v>3.9149065743944575E-3</v>
      </c>
    </row>
    <row r="20" spans="2:25" x14ac:dyDescent="0.3">
      <c r="B20" t="s">
        <v>10</v>
      </c>
      <c r="C20">
        <v>8.14</v>
      </c>
      <c r="D20">
        <v>6.62</v>
      </c>
      <c r="E20" s="1">
        <v>14.2</v>
      </c>
      <c r="F20" s="1">
        <v>15.1</v>
      </c>
      <c r="G20" s="2">
        <v>0.41805555555555557</v>
      </c>
      <c r="H20" t="s">
        <v>35</v>
      </c>
      <c r="I20">
        <v>160</v>
      </c>
      <c r="J20">
        <v>34.5</v>
      </c>
      <c r="K20">
        <v>3690</v>
      </c>
      <c r="L20">
        <v>2</v>
      </c>
      <c r="M20">
        <v>4.3750000000000067E-2</v>
      </c>
      <c r="N20">
        <v>4.3750000000000067E-2</v>
      </c>
      <c r="O20">
        <v>1.5200000000000005</v>
      </c>
      <c r="P20">
        <v>5.6088000000000015E-3</v>
      </c>
      <c r="Q20">
        <v>3.7159751552794987E-3</v>
      </c>
      <c r="R20">
        <v>14.649999999999999</v>
      </c>
      <c r="S20" s="1">
        <f>F20-E20</f>
        <v>0.90000000000000036</v>
      </c>
      <c r="W20">
        <v>4.0530892448512566E-3</v>
      </c>
      <c r="X20">
        <v>9.045566433566422E-3</v>
      </c>
    </row>
    <row r="21" spans="2:25" x14ac:dyDescent="0.3">
      <c r="B21" t="s">
        <v>15</v>
      </c>
      <c r="C21">
        <v>8.82</v>
      </c>
      <c r="D21">
        <v>6.96</v>
      </c>
      <c r="E21" s="1">
        <v>15.1</v>
      </c>
      <c r="F21" s="1">
        <v>16</v>
      </c>
      <c r="G21" s="2">
        <v>0.44722222222222219</v>
      </c>
      <c r="H21" t="s">
        <v>36</v>
      </c>
      <c r="I21">
        <v>67</v>
      </c>
      <c r="J21">
        <v>2.7</v>
      </c>
      <c r="K21">
        <v>372</v>
      </c>
      <c r="L21">
        <v>5</v>
      </c>
      <c r="M21">
        <v>4.3749999999999956E-2</v>
      </c>
      <c r="N21">
        <v>4.3749999999999956E-2</v>
      </c>
      <c r="O21">
        <v>1.8600000000000003</v>
      </c>
      <c r="P21">
        <v>6.9192000000000006E-4</v>
      </c>
      <c r="Q21">
        <v>5.8575238095238159E-3</v>
      </c>
      <c r="R21">
        <v>15.55</v>
      </c>
      <c r="S21" s="1">
        <f>F21-E21</f>
        <v>0.90000000000000036</v>
      </c>
      <c r="W21">
        <v>4.7239503722084327E-3</v>
      </c>
      <c r="X21">
        <v>6.0018550724637611E-3</v>
      </c>
    </row>
    <row r="22" spans="2:25" x14ac:dyDescent="0.3">
      <c r="B22" t="s">
        <v>21</v>
      </c>
      <c r="C22">
        <v>8.4499999999999993</v>
      </c>
      <c r="D22">
        <v>6.74</v>
      </c>
      <c r="E22" s="1">
        <v>15.6</v>
      </c>
      <c r="F22" s="1">
        <v>16.5</v>
      </c>
      <c r="G22" s="2">
        <v>0.58888888888888891</v>
      </c>
      <c r="H22" t="s">
        <v>37</v>
      </c>
      <c r="I22">
        <v>163</v>
      </c>
      <c r="J22">
        <v>42.9</v>
      </c>
      <c r="K22">
        <v>3690</v>
      </c>
      <c r="L22">
        <v>4</v>
      </c>
      <c r="M22">
        <v>3.1944444444444442E-2</v>
      </c>
      <c r="N22">
        <v>3.1944444444444442E-2</v>
      </c>
      <c r="O22">
        <v>1.7099999999999991</v>
      </c>
      <c r="P22">
        <v>6.3098999999999959E-3</v>
      </c>
      <c r="Q22">
        <v>4.6043660687138926E-3</v>
      </c>
      <c r="R22">
        <v>16.05</v>
      </c>
      <c r="S22" s="1">
        <f>F22-E22</f>
        <v>0.90000000000000036</v>
      </c>
      <c r="W22">
        <v>5.3118306878306935E-3</v>
      </c>
      <c r="X22">
        <v>6.2079999999999922E-3</v>
      </c>
    </row>
    <row r="23" spans="2:25" x14ac:dyDescent="0.3">
      <c r="B23" t="s">
        <v>6</v>
      </c>
      <c r="C23">
        <v>9.17</v>
      </c>
      <c r="D23">
        <v>7.8</v>
      </c>
      <c r="E23" s="1">
        <v>11.3</v>
      </c>
      <c r="F23" s="1">
        <v>12.2</v>
      </c>
      <c r="G23" s="2">
        <v>0.44375000000000003</v>
      </c>
      <c r="H23" t="s">
        <v>35</v>
      </c>
      <c r="I23">
        <v>142</v>
      </c>
      <c r="J23">
        <v>25.3</v>
      </c>
      <c r="K23">
        <v>2340</v>
      </c>
      <c r="L23">
        <v>3</v>
      </c>
      <c r="M23">
        <v>3.8194444444444531E-2</v>
      </c>
      <c r="N23">
        <v>3.8194444444444531E-2</v>
      </c>
      <c r="O23">
        <v>1.37</v>
      </c>
      <c r="P23">
        <v>3.2058E-3</v>
      </c>
      <c r="Q23">
        <v>3.317536471433697E-3</v>
      </c>
      <c r="R23">
        <v>11.75</v>
      </c>
      <c r="S23" s="1">
        <f>F23-E23</f>
        <v>0.89999999999999858</v>
      </c>
      <c r="W23">
        <v>3.7159751552794987E-3</v>
      </c>
      <c r="X23">
        <v>7.037333333333326E-3</v>
      </c>
    </row>
    <row r="24" spans="2:25" x14ac:dyDescent="0.3">
      <c r="B24" t="s">
        <v>10</v>
      </c>
      <c r="C24">
        <v>8.32</v>
      </c>
      <c r="D24">
        <v>7.05</v>
      </c>
      <c r="E24" s="1">
        <v>16.5</v>
      </c>
      <c r="F24" s="1">
        <v>17.399999999999999</v>
      </c>
      <c r="G24" s="2">
        <v>0.51388888888888895</v>
      </c>
      <c r="H24" t="s">
        <v>35</v>
      </c>
      <c r="I24">
        <v>160</v>
      </c>
      <c r="J24">
        <v>34.5</v>
      </c>
      <c r="K24">
        <v>3690</v>
      </c>
      <c r="L24">
        <v>3</v>
      </c>
      <c r="M24">
        <v>2.8472222222222288E-2</v>
      </c>
      <c r="N24">
        <v>2.8472222222222288E-2</v>
      </c>
      <c r="O24">
        <v>1.2700000000000005</v>
      </c>
      <c r="P24">
        <v>4.6863000000000017E-3</v>
      </c>
      <c r="Q24">
        <v>4.7707826086956428E-3</v>
      </c>
      <c r="R24">
        <v>16.95</v>
      </c>
      <c r="S24" s="1">
        <f>F24-E24</f>
        <v>0.89999999999999858</v>
      </c>
      <c r="W24">
        <v>7.0583184257602951E-3</v>
      </c>
      <c r="X24">
        <v>6.7993043478261021E-3</v>
      </c>
    </row>
    <row r="25" spans="2:25" x14ac:dyDescent="0.3">
      <c r="B25" t="s">
        <v>8</v>
      </c>
      <c r="C25">
        <v>7.81</v>
      </c>
      <c r="D25">
        <v>5.2</v>
      </c>
      <c r="E25" s="1">
        <v>20.6</v>
      </c>
      <c r="F25" s="1">
        <v>21.5</v>
      </c>
      <c r="G25" s="2">
        <v>0.57986111111111105</v>
      </c>
      <c r="H25" t="s">
        <v>35</v>
      </c>
      <c r="I25">
        <v>115</v>
      </c>
      <c r="J25">
        <v>13</v>
      </c>
      <c r="K25">
        <v>1370</v>
      </c>
      <c r="L25">
        <v>4</v>
      </c>
      <c r="M25">
        <v>3.0555555555555447E-2</v>
      </c>
      <c r="N25">
        <v>3.0555555555555447E-2</v>
      </c>
      <c r="O25">
        <v>2.6099999999999994</v>
      </c>
      <c r="P25">
        <v>3.5756999999999994E-3</v>
      </c>
      <c r="Q25">
        <v>9.0017622377622682E-3</v>
      </c>
      <c r="R25">
        <v>21.05</v>
      </c>
      <c r="S25" s="1">
        <f>F25-E25</f>
        <v>0.89999999999999858</v>
      </c>
      <c r="W25">
        <v>6.8308837209302186E-3</v>
      </c>
      <c r="X25">
        <v>6.9125524296675478E-3</v>
      </c>
    </row>
    <row r="26" spans="2:25" x14ac:dyDescent="0.3">
      <c r="B26" t="s">
        <v>9</v>
      </c>
      <c r="C26">
        <v>7.88</v>
      </c>
      <c r="D26">
        <v>5.16</v>
      </c>
      <c r="E26" s="1">
        <v>20.5</v>
      </c>
      <c r="F26" s="1">
        <v>21.4</v>
      </c>
      <c r="G26" s="2">
        <v>0.58124999999999993</v>
      </c>
      <c r="H26" t="s">
        <v>35</v>
      </c>
      <c r="I26">
        <v>116</v>
      </c>
      <c r="J26">
        <v>13.5</v>
      </c>
      <c r="K26">
        <v>1370</v>
      </c>
      <c r="L26">
        <v>4</v>
      </c>
      <c r="M26">
        <v>2.9861111111111116E-2</v>
      </c>
      <c r="N26">
        <v>2.9861111111111116E-2</v>
      </c>
      <c r="O26">
        <v>2.7199999999999998</v>
      </c>
      <c r="P26">
        <v>3.7263999999999999E-3</v>
      </c>
      <c r="Q26">
        <v>9.2437829457364326E-3</v>
      </c>
      <c r="R26">
        <v>20.95</v>
      </c>
      <c r="S26" s="1">
        <f>F26-E26</f>
        <v>0.89999999999999858</v>
      </c>
      <c r="W26">
        <v>4.7707826086956428E-3</v>
      </c>
      <c r="X26">
        <v>6.1630328820116058E-3</v>
      </c>
    </row>
    <row r="27" spans="2:25" x14ac:dyDescent="0.3">
      <c r="B27" t="s">
        <v>10</v>
      </c>
      <c r="C27">
        <v>7.56</v>
      </c>
      <c r="D27">
        <v>5.91</v>
      </c>
      <c r="E27" s="1">
        <v>18.5</v>
      </c>
      <c r="F27" s="1">
        <v>19.399999999999999</v>
      </c>
      <c r="G27" s="2">
        <v>0.58263888888888882</v>
      </c>
      <c r="H27" t="s">
        <v>35</v>
      </c>
      <c r="I27">
        <v>160</v>
      </c>
      <c r="J27">
        <v>34.5</v>
      </c>
      <c r="K27">
        <v>3690</v>
      </c>
      <c r="L27">
        <v>4</v>
      </c>
      <c r="M27">
        <v>2.9861111111111005E-2</v>
      </c>
      <c r="N27">
        <v>2.9861111111111002E-2</v>
      </c>
      <c r="O27">
        <v>1.6499999999999995</v>
      </c>
      <c r="P27">
        <v>6.0884999999999984E-3</v>
      </c>
      <c r="Q27">
        <v>5.9099696663296461E-3</v>
      </c>
      <c r="R27">
        <v>18.95</v>
      </c>
      <c r="S27" s="1">
        <f>F27-E27</f>
        <v>0.89999999999999858</v>
      </c>
      <c r="W27">
        <v>9.0017622377622682E-3</v>
      </c>
      <c r="X27">
        <v>6.9503999999999989E-3</v>
      </c>
    </row>
    <row r="28" spans="2:25" x14ac:dyDescent="0.3">
      <c r="B28" t="s">
        <v>12</v>
      </c>
      <c r="C28">
        <v>7.31</v>
      </c>
      <c r="D28">
        <v>6.5</v>
      </c>
      <c r="E28" s="1">
        <v>13.8</v>
      </c>
      <c r="F28" s="1">
        <v>14.7</v>
      </c>
      <c r="G28" s="2">
        <v>0.43055555555555558</v>
      </c>
      <c r="H28" t="s">
        <v>36</v>
      </c>
      <c r="I28">
        <v>76</v>
      </c>
      <c r="J28">
        <v>3.4</v>
      </c>
      <c r="K28">
        <v>582</v>
      </c>
      <c r="L28">
        <v>7</v>
      </c>
      <c r="M28">
        <v>3.5416666666666707E-2</v>
      </c>
      <c r="N28">
        <v>3.5416666666666707E-2</v>
      </c>
      <c r="O28">
        <v>0.80999999999999961</v>
      </c>
      <c r="P28">
        <v>4.7141999999999974E-4</v>
      </c>
      <c r="Q28">
        <v>3.9149065743944575E-3</v>
      </c>
      <c r="R28">
        <v>14.25</v>
      </c>
      <c r="S28" s="1">
        <f>F28-E28</f>
        <v>0.89999999999999858</v>
      </c>
      <c r="W28">
        <v>9.2437829457364326E-3</v>
      </c>
      <c r="X28">
        <v>1.192713472485772E-2</v>
      </c>
    </row>
    <row r="29" spans="2:25" x14ac:dyDescent="0.3">
      <c r="B29" t="s">
        <v>18</v>
      </c>
      <c r="C29">
        <v>9</v>
      </c>
      <c r="D29">
        <v>7.75</v>
      </c>
      <c r="E29" s="1">
        <v>16.600000000000001</v>
      </c>
      <c r="F29" s="1">
        <v>17.5</v>
      </c>
      <c r="G29" s="2">
        <v>0.52708333333333335</v>
      </c>
      <c r="H29" t="s">
        <v>36</v>
      </c>
      <c r="I29">
        <v>65</v>
      </c>
      <c r="J29">
        <v>2.2000000000000002</v>
      </c>
      <c r="K29">
        <v>376</v>
      </c>
      <c r="L29">
        <v>6</v>
      </c>
      <c r="M29">
        <v>3.2638888888888884E-2</v>
      </c>
      <c r="N29">
        <v>3.2638888888888884E-2</v>
      </c>
      <c r="O29">
        <v>1.25</v>
      </c>
      <c r="P29">
        <v>4.6999999999999999E-4</v>
      </c>
      <c r="Q29">
        <v>6.5454545454545453E-3</v>
      </c>
      <c r="R29">
        <v>17.05</v>
      </c>
      <c r="S29" s="1">
        <f>F29-E29</f>
        <v>0.89999999999999858</v>
      </c>
      <c r="W29">
        <v>5.9099696663296461E-3</v>
      </c>
      <c r="X29">
        <v>9.258228739002965E-3</v>
      </c>
    </row>
    <row r="30" spans="2:25" x14ac:dyDescent="0.3">
      <c r="B30" t="s">
        <v>7</v>
      </c>
      <c r="C30">
        <v>5.98</v>
      </c>
      <c r="D30">
        <v>4.1399999999999997</v>
      </c>
      <c r="E30" s="1">
        <v>17.7</v>
      </c>
      <c r="F30" s="1">
        <v>18.5</v>
      </c>
      <c r="G30" s="2">
        <v>0.59375</v>
      </c>
      <c r="H30" t="s">
        <v>35</v>
      </c>
      <c r="I30">
        <v>142</v>
      </c>
      <c r="J30">
        <v>26.1</v>
      </c>
      <c r="K30">
        <v>2340</v>
      </c>
      <c r="L30">
        <v>5</v>
      </c>
      <c r="M30">
        <v>3.125E-2</v>
      </c>
      <c r="N30">
        <v>3.125E-2</v>
      </c>
      <c r="O30">
        <v>1.8400000000000007</v>
      </c>
      <c r="P30">
        <v>4.3056000000000014E-3</v>
      </c>
      <c r="Q30">
        <v>5.2788965517241394E-3</v>
      </c>
      <c r="R30">
        <v>18.100000000000001</v>
      </c>
      <c r="S30" s="1">
        <f>F30-E30</f>
        <v>0.80000000000000071</v>
      </c>
      <c r="W30">
        <v>9.7605314685314699E-3</v>
      </c>
      <c r="X30">
        <v>6.8748521739130687E-3</v>
      </c>
    </row>
    <row r="31" spans="2:25" x14ac:dyDescent="0.3">
      <c r="B31" t="s">
        <v>17</v>
      </c>
      <c r="C31">
        <v>7.36</v>
      </c>
      <c r="D31">
        <v>3.38</v>
      </c>
      <c r="E31" s="1">
        <v>15.2</v>
      </c>
      <c r="F31" s="1">
        <v>16</v>
      </c>
      <c r="G31" s="2">
        <v>0.45277777777777778</v>
      </c>
      <c r="H31" t="s">
        <v>36</v>
      </c>
      <c r="I31">
        <v>83</v>
      </c>
      <c r="J31">
        <v>4.7</v>
      </c>
      <c r="K31">
        <v>384</v>
      </c>
      <c r="L31">
        <v>5</v>
      </c>
      <c r="M31">
        <v>4.4444444444444398E-2</v>
      </c>
      <c r="N31">
        <v>4.4444444444444398E-2</v>
      </c>
      <c r="O31">
        <v>3.9800000000000004</v>
      </c>
      <c r="P31">
        <v>1.5283200000000001E-3</v>
      </c>
      <c r="Q31">
        <v>7.3164255319149015E-3</v>
      </c>
      <c r="R31">
        <v>15.6</v>
      </c>
      <c r="S31" s="1">
        <f>F31-E31</f>
        <v>0.80000000000000071</v>
      </c>
      <c r="W31">
        <v>9.9045925925925916E-3</v>
      </c>
      <c r="X31">
        <v>6.8967619047619272E-3</v>
      </c>
    </row>
    <row r="32" spans="2:25" x14ac:dyDescent="0.3">
      <c r="B32" t="s">
        <v>18</v>
      </c>
      <c r="C32">
        <v>8.4600000000000009</v>
      </c>
      <c r="D32">
        <v>7.07</v>
      </c>
      <c r="E32" s="1">
        <v>15.2</v>
      </c>
      <c r="F32" s="1">
        <v>16</v>
      </c>
      <c r="G32" s="2">
        <v>0.45555555555555555</v>
      </c>
      <c r="H32" t="s">
        <v>36</v>
      </c>
      <c r="I32">
        <v>65</v>
      </c>
      <c r="J32">
        <v>2.2000000000000002</v>
      </c>
      <c r="K32">
        <v>376</v>
      </c>
      <c r="L32">
        <v>5</v>
      </c>
      <c r="M32">
        <v>4.5138888888888895E-2</v>
      </c>
      <c r="N32">
        <v>4.5138888888888902E-2</v>
      </c>
      <c r="O32">
        <v>1.3900000000000006</v>
      </c>
      <c r="P32">
        <v>5.2264000000000021E-4</v>
      </c>
      <c r="Q32">
        <v>5.2629482517482524E-3</v>
      </c>
      <c r="R32">
        <v>15.6</v>
      </c>
      <c r="S32" s="1">
        <f>F32-E32</f>
        <v>0.80000000000000071</v>
      </c>
      <c r="W32">
        <v>6.5624801512287334E-3</v>
      </c>
      <c r="X32">
        <v>9.8308571428571429E-3</v>
      </c>
    </row>
    <row r="33" spans="2:24" x14ac:dyDescent="0.3">
      <c r="B33" t="s">
        <v>18</v>
      </c>
      <c r="C33">
        <v>8.41</v>
      </c>
      <c r="D33">
        <v>6.76</v>
      </c>
      <c r="E33" s="1">
        <v>19.3</v>
      </c>
      <c r="F33" s="1">
        <v>20.100000000000001</v>
      </c>
      <c r="G33" s="2">
        <v>0.67083333333333339</v>
      </c>
      <c r="H33" t="s">
        <v>36</v>
      </c>
      <c r="I33">
        <v>65</v>
      </c>
      <c r="J33">
        <v>2.2000000000000002</v>
      </c>
      <c r="K33">
        <v>376</v>
      </c>
      <c r="L33">
        <v>8</v>
      </c>
      <c r="M33">
        <v>3.4027777777777879E-2</v>
      </c>
      <c r="N33">
        <v>3.4027777777777879E-2</v>
      </c>
      <c r="O33">
        <v>1.6500000000000004</v>
      </c>
      <c r="P33">
        <v>6.2040000000000023E-4</v>
      </c>
      <c r="Q33">
        <v>8.2873469387754872E-3</v>
      </c>
      <c r="R33">
        <v>19.700000000000003</v>
      </c>
      <c r="S33" s="1">
        <f>F33-E33</f>
        <v>0.80000000000000071</v>
      </c>
      <c r="W33">
        <v>1.1381538461538452E-2</v>
      </c>
      <c r="X33">
        <v>6.9470151975684147E-3</v>
      </c>
    </row>
    <row r="34" spans="2:24" x14ac:dyDescent="0.3">
      <c r="B34" t="s">
        <v>8</v>
      </c>
      <c r="C34">
        <v>8.8699999999999992</v>
      </c>
      <c r="D34">
        <v>6.94</v>
      </c>
      <c r="E34" s="1">
        <v>14.4</v>
      </c>
      <c r="F34" s="1">
        <v>15.2</v>
      </c>
      <c r="G34" s="2">
        <v>0.41388888888888892</v>
      </c>
      <c r="H34" t="s">
        <v>35</v>
      </c>
      <c r="I34">
        <v>115</v>
      </c>
      <c r="J34">
        <v>13</v>
      </c>
      <c r="K34">
        <v>1370</v>
      </c>
      <c r="L34">
        <v>2</v>
      </c>
      <c r="M34">
        <v>4.3055555555555569E-2</v>
      </c>
      <c r="N34">
        <v>4.3055555555555569E-2</v>
      </c>
      <c r="O34">
        <v>1.9299999999999988</v>
      </c>
      <c r="P34">
        <v>2.6440999999999986E-3</v>
      </c>
      <c r="Q34">
        <v>4.7239503722084327E-3</v>
      </c>
      <c r="R34">
        <v>14.8</v>
      </c>
      <c r="S34" s="1">
        <f>F34-E34</f>
        <v>0.79999999999999893</v>
      </c>
      <c r="W34">
        <v>1.072926315789473E-2</v>
      </c>
      <c r="X34">
        <v>9.9615584415584379E-3</v>
      </c>
    </row>
    <row r="35" spans="2:24" x14ac:dyDescent="0.3">
      <c r="B35" t="s">
        <v>16</v>
      </c>
      <c r="C35">
        <v>8.69</v>
      </c>
      <c r="D35">
        <v>7.59</v>
      </c>
      <c r="E35" s="1">
        <v>16.600000000000001</v>
      </c>
      <c r="F35" s="1">
        <v>17.3</v>
      </c>
      <c r="G35" s="2">
        <v>0.52083333333333337</v>
      </c>
      <c r="H35" t="s">
        <v>36</v>
      </c>
      <c r="I35">
        <v>56</v>
      </c>
      <c r="J35">
        <v>1.5</v>
      </c>
      <c r="K35">
        <v>374</v>
      </c>
      <c r="L35">
        <v>6</v>
      </c>
      <c r="M35">
        <v>2.9166666666666674E-2</v>
      </c>
      <c r="N35">
        <v>2.9166666666666678E-2</v>
      </c>
      <c r="O35">
        <v>1.0999999999999996</v>
      </c>
      <c r="P35">
        <v>4.1139999999999986E-4</v>
      </c>
      <c r="Q35">
        <v>9.4034285714285661E-3</v>
      </c>
      <c r="R35">
        <v>16.950000000000003</v>
      </c>
      <c r="S35" s="1">
        <f>F35-E35</f>
        <v>0.69999999999999929</v>
      </c>
      <c r="W35">
        <v>7.4884317841079325E-3</v>
      </c>
      <c r="X35">
        <v>7.2217600000000033E-3</v>
      </c>
    </row>
    <row r="36" spans="2:24" x14ac:dyDescent="0.3">
      <c r="B36" t="s">
        <v>21</v>
      </c>
      <c r="C36">
        <v>8.83</v>
      </c>
      <c r="D36">
        <v>7.63</v>
      </c>
      <c r="E36" s="1">
        <v>11.3</v>
      </c>
      <c r="F36" s="1">
        <v>12</v>
      </c>
      <c r="G36" s="2">
        <v>0.44236111111111115</v>
      </c>
      <c r="H36" t="s">
        <v>37</v>
      </c>
      <c r="I36">
        <v>163</v>
      </c>
      <c r="J36">
        <v>42.9</v>
      </c>
      <c r="K36">
        <v>3690</v>
      </c>
      <c r="L36">
        <v>2</v>
      </c>
      <c r="M36">
        <v>3.8888888888888917E-2</v>
      </c>
      <c r="N36">
        <v>3.8888888888888917E-2</v>
      </c>
      <c r="O36">
        <v>1.2000000000000002</v>
      </c>
      <c r="P36">
        <v>4.4280000000000005E-3</v>
      </c>
      <c r="Q36">
        <v>2.6541458541458523E-3</v>
      </c>
      <c r="R36">
        <v>11.65</v>
      </c>
      <c r="S36" s="1">
        <f>F36-E36</f>
        <v>0.69999999999999929</v>
      </c>
      <c r="W36">
        <v>6.1733129770992299E-3</v>
      </c>
      <c r="X36">
        <v>8.1333551020408203E-3</v>
      </c>
    </row>
    <row r="37" spans="2:24" x14ac:dyDescent="0.3">
      <c r="B37" t="s">
        <v>21</v>
      </c>
      <c r="C37">
        <v>6.48</v>
      </c>
      <c r="D37">
        <v>5.43</v>
      </c>
      <c r="E37" s="1">
        <v>17.7</v>
      </c>
      <c r="F37" s="1">
        <v>18.399999999999999</v>
      </c>
      <c r="G37" s="2">
        <v>0.64722222222222225</v>
      </c>
      <c r="H37" t="s">
        <v>37</v>
      </c>
      <c r="I37">
        <v>163</v>
      </c>
      <c r="J37">
        <v>42.9</v>
      </c>
      <c r="K37">
        <v>3690</v>
      </c>
      <c r="L37">
        <v>5</v>
      </c>
      <c r="M37">
        <v>2.430555555555558E-2</v>
      </c>
      <c r="N37">
        <v>2.430555555555558E-2</v>
      </c>
      <c r="O37">
        <v>1.0500000000000007</v>
      </c>
      <c r="P37">
        <v>3.8745000000000025E-3</v>
      </c>
      <c r="Q37">
        <v>3.7158041958041945E-3</v>
      </c>
      <c r="R37">
        <v>18.049999999999997</v>
      </c>
      <c r="S37" s="1">
        <f>F37-E37</f>
        <v>0.69999999999999929</v>
      </c>
      <c r="W37">
        <v>6.4053165693758367E-3</v>
      </c>
      <c r="X37">
        <v>6.8943523404255136E-3</v>
      </c>
    </row>
    <row r="38" spans="2:24" x14ac:dyDescent="0.3">
      <c r="B38" t="s">
        <v>9</v>
      </c>
      <c r="C38">
        <v>7.38</v>
      </c>
      <c r="D38">
        <v>4.33</v>
      </c>
      <c r="E38" s="1">
        <v>21.9</v>
      </c>
      <c r="F38" s="1">
        <v>22.5</v>
      </c>
      <c r="G38" s="2">
        <v>0.65486111111111112</v>
      </c>
      <c r="H38" t="s">
        <v>35</v>
      </c>
      <c r="I38">
        <v>116</v>
      </c>
      <c r="J38">
        <v>13.5</v>
      </c>
      <c r="K38">
        <v>1370</v>
      </c>
      <c r="L38">
        <v>5</v>
      </c>
      <c r="M38">
        <v>3.125E-2</v>
      </c>
      <c r="N38">
        <v>3.125E-2</v>
      </c>
      <c r="O38">
        <v>3.05</v>
      </c>
      <c r="P38">
        <v>4.1784999999999999E-3</v>
      </c>
      <c r="Q38">
        <v>9.9045925925925916E-3</v>
      </c>
      <c r="R38">
        <v>22.2</v>
      </c>
      <c r="S38" s="1">
        <f>F38-E38</f>
        <v>0.60000000000000142</v>
      </c>
      <c r="W38">
        <v>6.974656488549634E-3</v>
      </c>
      <c r="X38">
        <v>8.3184872727273037E-3</v>
      </c>
    </row>
    <row r="39" spans="2:24" x14ac:dyDescent="0.3">
      <c r="B39" t="s">
        <v>10</v>
      </c>
      <c r="C39">
        <v>6.53</v>
      </c>
      <c r="D39">
        <v>4.57</v>
      </c>
      <c r="E39" s="1">
        <v>20.399999999999999</v>
      </c>
      <c r="F39" s="1">
        <v>21</v>
      </c>
      <c r="G39" s="2">
        <v>0.65763888888888888</v>
      </c>
      <c r="H39" t="s">
        <v>35</v>
      </c>
      <c r="I39">
        <v>160</v>
      </c>
      <c r="J39">
        <v>34.5</v>
      </c>
      <c r="K39">
        <v>3690</v>
      </c>
      <c r="L39">
        <v>5</v>
      </c>
      <c r="M39">
        <v>3.1944444444444442E-2</v>
      </c>
      <c r="N39">
        <v>3.1944444444444442E-2</v>
      </c>
      <c r="O39">
        <v>1.96</v>
      </c>
      <c r="P39">
        <v>7.2323999999999999E-3</v>
      </c>
      <c r="Q39">
        <v>6.5624801512287334E-3</v>
      </c>
      <c r="R39">
        <v>20.7</v>
      </c>
      <c r="S39" s="1">
        <f>F39-E39</f>
        <v>0.60000000000000142</v>
      </c>
      <c r="W39">
        <v>8.1783206106870194E-3</v>
      </c>
      <c r="X39">
        <v>6.7314285714285783E-3</v>
      </c>
    </row>
    <row r="40" spans="2:24" x14ac:dyDescent="0.3">
      <c r="B40" t="s">
        <v>11</v>
      </c>
      <c r="C40">
        <v>9.16</v>
      </c>
      <c r="D40">
        <v>7.89</v>
      </c>
      <c r="E40" s="1">
        <v>14.7</v>
      </c>
      <c r="F40" s="1">
        <v>15.3</v>
      </c>
      <c r="G40" s="2">
        <v>0.33680555555555558</v>
      </c>
      <c r="H40" t="s">
        <v>35</v>
      </c>
      <c r="I40">
        <v>114</v>
      </c>
      <c r="J40">
        <v>13.1</v>
      </c>
      <c r="K40">
        <v>2340</v>
      </c>
      <c r="L40">
        <v>2</v>
      </c>
      <c r="M40">
        <v>3.5416666666666707E-2</v>
      </c>
      <c r="N40">
        <v>3.5416666666666707E-2</v>
      </c>
      <c r="O40">
        <v>1.2700000000000005</v>
      </c>
      <c r="P40">
        <v>2.971800000000001E-3</v>
      </c>
      <c r="Q40">
        <v>6.4053165693758367E-3</v>
      </c>
      <c r="R40">
        <v>15</v>
      </c>
      <c r="S40" s="1">
        <f>F40-E40</f>
        <v>0.60000000000000142</v>
      </c>
      <c r="W40">
        <v>7.4594198473282433E-3</v>
      </c>
      <c r="X40">
        <v>8.1600000000000058E-3</v>
      </c>
    </row>
    <row r="41" spans="2:24" x14ac:dyDescent="0.3">
      <c r="B41" t="s">
        <v>11</v>
      </c>
      <c r="C41">
        <v>8.57</v>
      </c>
      <c r="D41">
        <v>7.16</v>
      </c>
      <c r="E41" s="1">
        <v>16</v>
      </c>
      <c r="F41" s="1">
        <v>16.600000000000001</v>
      </c>
      <c r="G41" s="2">
        <v>0.41180555555555554</v>
      </c>
      <c r="H41" t="s">
        <v>35</v>
      </c>
      <c r="I41">
        <v>114</v>
      </c>
      <c r="J41">
        <v>13.1</v>
      </c>
      <c r="K41">
        <v>2340</v>
      </c>
      <c r="L41">
        <v>3</v>
      </c>
      <c r="M41">
        <v>3.6111111111111038E-2</v>
      </c>
      <c r="N41">
        <v>3.6111111111111038E-2</v>
      </c>
      <c r="O41">
        <v>1.4100000000000001</v>
      </c>
      <c r="P41">
        <v>3.2994000000000005E-3</v>
      </c>
      <c r="Q41">
        <v>6.974656488549634E-3</v>
      </c>
      <c r="R41">
        <v>16.3</v>
      </c>
      <c r="S41" s="1">
        <f>F41-E41</f>
        <v>0.60000000000000142</v>
      </c>
      <c r="X41">
        <v>7.7284578136463675E-3</v>
      </c>
    </row>
    <row r="42" spans="2:24" x14ac:dyDescent="0.3">
      <c r="B42" t="s">
        <v>11</v>
      </c>
      <c r="C42">
        <v>7.25</v>
      </c>
      <c r="D42">
        <v>6.01</v>
      </c>
      <c r="E42" s="1">
        <v>17.399999999999999</v>
      </c>
      <c r="F42" s="1">
        <v>18</v>
      </c>
      <c r="G42" s="2">
        <v>0.4826388888888889</v>
      </c>
      <c r="H42" t="s">
        <v>35</v>
      </c>
      <c r="I42">
        <v>114</v>
      </c>
      <c r="J42">
        <v>13.1</v>
      </c>
      <c r="K42">
        <v>2340</v>
      </c>
      <c r="L42">
        <v>4</v>
      </c>
      <c r="M42">
        <v>2.7083333333333348E-2</v>
      </c>
      <c r="N42">
        <v>2.7083333333333348E-2</v>
      </c>
      <c r="O42">
        <v>1.2400000000000002</v>
      </c>
      <c r="P42">
        <v>2.9016000000000003E-3</v>
      </c>
      <c r="Q42">
        <v>8.1783206106870194E-3</v>
      </c>
      <c r="R42">
        <v>17.7</v>
      </c>
      <c r="S42" s="1">
        <f>F42-E42</f>
        <v>0.60000000000000142</v>
      </c>
      <c r="X42">
        <v>1.0947611285266459E-2</v>
      </c>
    </row>
    <row r="43" spans="2:24" x14ac:dyDescent="0.3">
      <c r="B43" t="s">
        <v>12</v>
      </c>
      <c r="C43">
        <v>8.6999999999999993</v>
      </c>
      <c r="D43">
        <v>7.2</v>
      </c>
      <c r="E43" s="1">
        <v>19.2</v>
      </c>
      <c r="F43" s="1">
        <v>19.8</v>
      </c>
      <c r="G43" s="2">
        <v>0.63680555555555551</v>
      </c>
      <c r="H43" t="s">
        <v>36</v>
      </c>
      <c r="I43">
        <v>76</v>
      </c>
      <c r="J43">
        <v>3.4</v>
      </c>
      <c r="K43">
        <v>582</v>
      </c>
      <c r="L43">
        <v>10</v>
      </c>
      <c r="M43">
        <v>2.1527777777777701E-2</v>
      </c>
      <c r="N43">
        <v>2.1527777777777701E-2</v>
      </c>
      <c r="O43">
        <v>1.4999999999999991</v>
      </c>
      <c r="P43">
        <v>8.7299999999999943E-4</v>
      </c>
      <c r="Q43">
        <v>1.192713472485772E-2</v>
      </c>
      <c r="R43">
        <v>19.5</v>
      </c>
      <c r="S43" s="1">
        <f>F43-E43</f>
        <v>0.60000000000000142</v>
      </c>
      <c r="X43">
        <v>6.4074830769230758E-3</v>
      </c>
    </row>
    <row r="44" spans="2:24" x14ac:dyDescent="0.3">
      <c r="B44" t="s">
        <v>15</v>
      </c>
      <c r="C44">
        <v>8.94</v>
      </c>
      <c r="D44">
        <v>7.6</v>
      </c>
      <c r="E44" s="1">
        <v>16.7</v>
      </c>
      <c r="F44" s="1">
        <v>17.3</v>
      </c>
      <c r="G44" s="2">
        <v>0.51944444444444449</v>
      </c>
      <c r="H44" t="s">
        <v>36</v>
      </c>
      <c r="I44">
        <v>67</v>
      </c>
      <c r="J44">
        <v>2.7</v>
      </c>
      <c r="K44">
        <v>372</v>
      </c>
      <c r="L44">
        <v>6</v>
      </c>
      <c r="M44">
        <v>2.9166666666666674E-2</v>
      </c>
      <c r="N44">
        <v>2.9166666666666678E-2</v>
      </c>
      <c r="O44">
        <v>1.3399999999999999</v>
      </c>
      <c r="P44">
        <v>4.9847999999999993E-4</v>
      </c>
      <c r="Q44">
        <v>6.3299047619047579E-3</v>
      </c>
      <c r="R44">
        <v>17</v>
      </c>
      <c r="S44" s="1">
        <f>F44-E44</f>
        <v>0.60000000000000142</v>
      </c>
      <c r="X44">
        <v>5.7845106382978725E-3</v>
      </c>
    </row>
    <row r="45" spans="2:24" x14ac:dyDescent="0.3">
      <c r="B45" t="s">
        <v>16</v>
      </c>
      <c r="C45">
        <v>7.66</v>
      </c>
      <c r="D45">
        <v>6.75</v>
      </c>
      <c r="E45" s="1">
        <v>15.3</v>
      </c>
      <c r="F45" s="1">
        <v>15.9</v>
      </c>
      <c r="G45" s="2">
        <v>0.44930555555555557</v>
      </c>
      <c r="H45" t="s">
        <v>36</v>
      </c>
      <c r="I45">
        <v>56</v>
      </c>
      <c r="J45">
        <v>1.5</v>
      </c>
      <c r="K45">
        <v>374</v>
      </c>
      <c r="L45">
        <v>5</v>
      </c>
      <c r="M45">
        <v>4.3055555555555569E-2</v>
      </c>
      <c r="N45">
        <v>4.3055555555555569E-2</v>
      </c>
      <c r="O45">
        <v>0.91000000000000014</v>
      </c>
      <c r="P45">
        <v>3.4034000000000001E-4</v>
      </c>
      <c r="Q45">
        <v>5.2697806451612889E-3</v>
      </c>
      <c r="R45">
        <v>15.600000000000001</v>
      </c>
      <c r="S45" s="1">
        <f>F45-E45</f>
        <v>0.59999999999999964</v>
      </c>
      <c r="X45">
        <v>9.3658181818181765E-3</v>
      </c>
    </row>
    <row r="46" spans="2:24" x14ac:dyDescent="0.3">
      <c r="B46" t="s">
        <v>8</v>
      </c>
      <c r="C46">
        <v>7.36</v>
      </c>
      <c r="D46">
        <v>4.53</v>
      </c>
      <c r="E46" s="1">
        <v>22.1</v>
      </c>
      <c r="F46" s="1">
        <v>22.7</v>
      </c>
      <c r="G46" s="2">
        <v>0.65277777777777779</v>
      </c>
      <c r="H46" t="s">
        <v>35</v>
      </c>
      <c r="I46">
        <v>115</v>
      </c>
      <c r="J46">
        <v>13</v>
      </c>
      <c r="K46">
        <v>1370</v>
      </c>
      <c r="L46">
        <v>5</v>
      </c>
      <c r="M46">
        <v>3.0555555555555558E-2</v>
      </c>
      <c r="N46">
        <v>3.0555555555555555E-2</v>
      </c>
      <c r="O46">
        <v>2.83</v>
      </c>
      <c r="P46">
        <v>3.8771000000000005E-3</v>
      </c>
      <c r="Q46">
        <v>9.7605314685314699E-3</v>
      </c>
      <c r="R46">
        <v>22.4</v>
      </c>
      <c r="S46" s="1">
        <f>F46-E46</f>
        <v>0.59999999999999787</v>
      </c>
      <c r="X46">
        <v>5.2039344262295112E-3</v>
      </c>
    </row>
    <row r="47" spans="2:24" x14ac:dyDescent="0.3">
      <c r="B47" t="s">
        <v>20</v>
      </c>
      <c r="C47">
        <v>9.0500000000000007</v>
      </c>
      <c r="D47">
        <v>6.65</v>
      </c>
      <c r="E47" s="1">
        <v>17.100000000000001</v>
      </c>
      <c r="F47" s="1">
        <v>17.7</v>
      </c>
      <c r="G47" s="2">
        <v>0.4236111111111111</v>
      </c>
      <c r="H47" t="s">
        <v>36</v>
      </c>
      <c r="I47">
        <v>73</v>
      </c>
      <c r="J47">
        <v>3</v>
      </c>
      <c r="K47">
        <v>362</v>
      </c>
      <c r="L47">
        <v>3</v>
      </c>
      <c r="M47">
        <v>3.819444444444442E-2</v>
      </c>
      <c r="N47">
        <v>3.819444444444442E-2</v>
      </c>
      <c r="O47">
        <v>2.4000000000000004</v>
      </c>
      <c r="P47">
        <v>8.6880000000000008E-4</v>
      </c>
      <c r="Q47">
        <v>7.5822545454545514E-3</v>
      </c>
      <c r="R47">
        <v>17.399999999999999</v>
      </c>
      <c r="S47" s="1">
        <f>F47-E47</f>
        <v>0.59999999999999787</v>
      </c>
      <c r="X47">
        <v>5.8575238095238159E-3</v>
      </c>
    </row>
    <row r="48" spans="2:24" x14ac:dyDescent="0.3">
      <c r="B48" t="s">
        <v>6</v>
      </c>
      <c r="C48">
        <v>6.62</v>
      </c>
      <c r="D48">
        <v>4.95</v>
      </c>
      <c r="E48" s="1">
        <v>19.5</v>
      </c>
      <c r="F48" s="1">
        <v>20</v>
      </c>
      <c r="G48" s="2">
        <v>0.64930555555555558</v>
      </c>
      <c r="H48" t="s">
        <v>35</v>
      </c>
      <c r="I48">
        <v>142</v>
      </c>
      <c r="J48">
        <v>25.3</v>
      </c>
      <c r="K48">
        <v>2340</v>
      </c>
      <c r="L48">
        <v>6</v>
      </c>
      <c r="M48">
        <v>2.430555555555558E-2</v>
      </c>
      <c r="N48">
        <v>2.430555555555558E-2</v>
      </c>
      <c r="O48">
        <v>1.67</v>
      </c>
      <c r="P48">
        <v>3.9077999999999995E-3</v>
      </c>
      <c r="Q48">
        <v>6.3548639186899987E-3</v>
      </c>
      <c r="R48">
        <v>19.75</v>
      </c>
      <c r="S48" s="1">
        <f>F48-E48</f>
        <v>0.5</v>
      </c>
      <c r="X48">
        <v>5.2697806451612889E-3</v>
      </c>
    </row>
    <row r="49" spans="2:24" x14ac:dyDescent="0.3">
      <c r="B49" t="s">
        <v>14</v>
      </c>
      <c r="C49">
        <v>8.75</v>
      </c>
      <c r="D49">
        <v>7.37</v>
      </c>
      <c r="E49" s="1">
        <v>17</v>
      </c>
      <c r="F49" s="1">
        <v>17.5</v>
      </c>
      <c r="G49" s="2">
        <v>0.58472222222222225</v>
      </c>
      <c r="H49" t="s">
        <v>36</v>
      </c>
      <c r="I49">
        <v>66</v>
      </c>
      <c r="J49">
        <v>2.2999999999999998</v>
      </c>
      <c r="K49">
        <v>362</v>
      </c>
      <c r="L49">
        <v>9</v>
      </c>
      <c r="M49">
        <v>3.125E-2</v>
      </c>
      <c r="N49">
        <v>3.125E-2</v>
      </c>
      <c r="O49">
        <v>1.38</v>
      </c>
      <c r="P49">
        <v>4.9955999999999991E-4</v>
      </c>
      <c r="Q49">
        <v>6.9503999999999989E-3</v>
      </c>
      <c r="R49">
        <v>17.25</v>
      </c>
      <c r="S49" s="1">
        <f>F49-E49</f>
        <v>0.5</v>
      </c>
      <c r="X49">
        <v>7.3164255319149015E-3</v>
      </c>
    </row>
    <row r="50" spans="2:24" x14ac:dyDescent="0.3">
      <c r="B50" t="s">
        <v>14</v>
      </c>
      <c r="C50">
        <v>6</v>
      </c>
      <c r="D50">
        <v>5.09</v>
      </c>
      <c r="E50" s="1">
        <v>19.3</v>
      </c>
      <c r="F50" s="1">
        <v>19.8</v>
      </c>
      <c r="G50" s="2">
        <v>0.64097222222222217</v>
      </c>
      <c r="H50" t="s">
        <v>36</v>
      </c>
      <c r="I50">
        <v>66</v>
      </c>
      <c r="J50">
        <v>2.2999999999999998</v>
      </c>
      <c r="K50">
        <v>362</v>
      </c>
      <c r="L50">
        <v>10</v>
      </c>
      <c r="M50">
        <v>2.0833333333333259E-2</v>
      </c>
      <c r="N50">
        <v>2.0833333333333259E-2</v>
      </c>
      <c r="O50">
        <v>0.91000000000000014</v>
      </c>
      <c r="P50">
        <v>3.2942000000000003E-4</v>
      </c>
      <c r="Q50">
        <v>6.8748521739130687E-3</v>
      </c>
      <c r="R50">
        <v>19.55</v>
      </c>
      <c r="S50" s="1">
        <f>F50-E50</f>
        <v>0.5</v>
      </c>
      <c r="X50">
        <v>5.2629482517482524E-3</v>
      </c>
    </row>
    <row r="51" spans="2:24" x14ac:dyDescent="0.3">
      <c r="B51" t="s">
        <v>15</v>
      </c>
      <c r="C51">
        <v>8.74</v>
      </c>
      <c r="D51">
        <v>7.22</v>
      </c>
      <c r="E51" s="1">
        <v>18.399999999999999</v>
      </c>
      <c r="F51" s="1">
        <v>18.899999999999999</v>
      </c>
      <c r="G51" s="2">
        <v>0.58958333333333335</v>
      </c>
      <c r="H51" t="s">
        <v>36</v>
      </c>
      <c r="I51">
        <v>67</v>
      </c>
      <c r="J51">
        <v>2.7</v>
      </c>
      <c r="K51">
        <v>372</v>
      </c>
      <c r="L51">
        <v>7</v>
      </c>
      <c r="M51">
        <v>2.5694444444444464E-2</v>
      </c>
      <c r="N51">
        <v>2.5694444444444464E-2</v>
      </c>
      <c r="O51">
        <v>1.5200000000000005</v>
      </c>
      <c r="P51">
        <v>5.6544000000000017E-4</v>
      </c>
      <c r="Q51">
        <v>8.1504864864864815E-3</v>
      </c>
      <c r="R51">
        <v>18.649999999999999</v>
      </c>
      <c r="S51" s="1">
        <f>F51-E51</f>
        <v>0.5</v>
      </c>
      <c r="X51">
        <v>6.3299047619047579E-3</v>
      </c>
    </row>
    <row r="52" spans="2:24" x14ac:dyDescent="0.3">
      <c r="B52" t="s">
        <v>16</v>
      </c>
      <c r="C52">
        <v>8.58</v>
      </c>
      <c r="D52">
        <v>7.54</v>
      </c>
      <c r="E52" s="1">
        <v>18.399999999999999</v>
      </c>
      <c r="F52" s="1">
        <v>18.899999999999999</v>
      </c>
      <c r="G52" s="2">
        <v>0.59097222222222223</v>
      </c>
      <c r="H52" t="s">
        <v>36</v>
      </c>
      <c r="I52">
        <v>56</v>
      </c>
      <c r="J52">
        <v>1.5</v>
      </c>
      <c r="K52">
        <v>374</v>
      </c>
      <c r="L52">
        <v>7</v>
      </c>
      <c r="M52">
        <v>2.5694444444444464E-2</v>
      </c>
      <c r="N52">
        <v>2.5694444444444464E-2</v>
      </c>
      <c r="O52">
        <v>1.04</v>
      </c>
      <c r="P52">
        <v>3.8896000000000004E-4</v>
      </c>
      <c r="Q52">
        <v>1.0091935135135129E-2</v>
      </c>
      <c r="R52">
        <v>18.649999999999999</v>
      </c>
      <c r="S52" s="1">
        <f>F52-E52</f>
        <v>0.5</v>
      </c>
      <c r="X52">
        <v>9.4034285714285661E-3</v>
      </c>
    </row>
    <row r="53" spans="2:24" x14ac:dyDescent="0.3">
      <c r="B53" t="s">
        <v>17</v>
      </c>
      <c r="C53">
        <v>8.69</v>
      </c>
      <c r="D53">
        <v>6.25</v>
      </c>
      <c r="E53" s="1">
        <v>18.3</v>
      </c>
      <c r="F53" s="1">
        <v>18.8</v>
      </c>
      <c r="G53" s="2">
        <v>0.59305555555555556</v>
      </c>
      <c r="H53" t="s">
        <v>36</v>
      </c>
      <c r="I53">
        <v>83</v>
      </c>
      <c r="J53">
        <v>4.7</v>
      </c>
      <c r="K53">
        <v>384</v>
      </c>
      <c r="L53">
        <v>7</v>
      </c>
      <c r="M53">
        <v>2.6388888888888906E-2</v>
      </c>
      <c r="N53">
        <v>2.638888888888891E-2</v>
      </c>
      <c r="O53">
        <v>2.4399999999999995</v>
      </c>
      <c r="P53">
        <v>9.3695999999999981E-4</v>
      </c>
      <c r="Q53">
        <v>7.5544367301231723E-3</v>
      </c>
      <c r="R53">
        <v>18.55</v>
      </c>
      <c r="S53" s="1">
        <f>F53-E53</f>
        <v>0.5</v>
      </c>
      <c r="X53">
        <v>8.3378797409805749E-3</v>
      </c>
    </row>
    <row r="54" spans="2:24" x14ac:dyDescent="0.3">
      <c r="B54" t="s">
        <v>18</v>
      </c>
      <c r="C54">
        <v>8.57</v>
      </c>
      <c r="D54">
        <v>7.1</v>
      </c>
      <c r="E54" s="1">
        <v>18.399999999999999</v>
      </c>
      <c r="F54" s="1">
        <v>18.899999999999999</v>
      </c>
      <c r="G54" s="2">
        <v>0.59583333333333333</v>
      </c>
      <c r="H54" t="s">
        <v>36</v>
      </c>
      <c r="I54">
        <v>65</v>
      </c>
      <c r="J54">
        <v>2.2000000000000002</v>
      </c>
      <c r="K54">
        <v>376</v>
      </c>
      <c r="L54">
        <v>7</v>
      </c>
      <c r="M54">
        <v>2.6388888888888906E-2</v>
      </c>
      <c r="N54">
        <v>2.638888888888891E-2</v>
      </c>
      <c r="O54">
        <v>1.4700000000000006</v>
      </c>
      <c r="P54">
        <v>5.5272000000000025E-4</v>
      </c>
      <c r="Q54">
        <v>9.520535885167462E-3</v>
      </c>
      <c r="R54">
        <v>18.649999999999999</v>
      </c>
      <c r="S54" s="1">
        <f>F54-E54</f>
        <v>0.5</v>
      </c>
      <c r="X54">
        <v>6.5454545454545453E-3</v>
      </c>
    </row>
    <row r="55" spans="2:24" x14ac:dyDescent="0.3">
      <c r="B55" t="s">
        <v>19</v>
      </c>
      <c r="C55">
        <v>8.69</v>
      </c>
      <c r="D55">
        <v>7.2</v>
      </c>
      <c r="E55" s="1">
        <v>18.899999999999999</v>
      </c>
      <c r="F55" s="1">
        <v>19.399999999999999</v>
      </c>
      <c r="G55" s="2">
        <v>0.48680555555555555</v>
      </c>
      <c r="H55" t="s">
        <v>36</v>
      </c>
      <c r="I55">
        <v>80</v>
      </c>
      <c r="J55">
        <v>3.7</v>
      </c>
      <c r="K55">
        <v>582</v>
      </c>
      <c r="L55">
        <v>4</v>
      </c>
      <c r="M55">
        <v>2.6388888888888851E-2</v>
      </c>
      <c r="N55">
        <v>2.6388888888888851E-2</v>
      </c>
      <c r="O55">
        <v>1.4899999999999993</v>
      </c>
      <c r="P55">
        <v>8.6717999999999951E-4</v>
      </c>
      <c r="Q55">
        <v>8.8815021337126671E-3</v>
      </c>
      <c r="R55">
        <v>19.149999999999999</v>
      </c>
      <c r="S55" s="1">
        <f>F55-E55</f>
        <v>0.5</v>
      </c>
      <c r="X55">
        <v>8.1504864864864815E-3</v>
      </c>
    </row>
    <row r="56" spans="2:24" x14ac:dyDescent="0.3">
      <c r="B56" t="s">
        <v>20</v>
      </c>
      <c r="C56">
        <v>8.8800000000000008</v>
      </c>
      <c r="D56">
        <v>7.13</v>
      </c>
      <c r="E56" s="1">
        <v>19</v>
      </c>
      <c r="F56" s="1">
        <v>19.5</v>
      </c>
      <c r="G56" s="2">
        <v>0.48819444444444443</v>
      </c>
      <c r="H56" t="s">
        <v>36</v>
      </c>
      <c r="I56">
        <v>73</v>
      </c>
      <c r="J56">
        <v>3</v>
      </c>
      <c r="K56">
        <v>362</v>
      </c>
      <c r="L56">
        <v>4</v>
      </c>
      <c r="M56">
        <v>2.7083333333333348E-2</v>
      </c>
      <c r="N56">
        <v>2.7083333333333348E-2</v>
      </c>
      <c r="O56">
        <v>1.7500000000000009</v>
      </c>
      <c r="P56">
        <v>6.3350000000000027E-4</v>
      </c>
      <c r="Q56">
        <v>7.7969230769230763E-3</v>
      </c>
      <c r="R56">
        <v>19.25</v>
      </c>
      <c r="S56" s="1">
        <f>F56-E56</f>
        <v>0.5</v>
      </c>
      <c r="X56">
        <v>1.0091935135135129E-2</v>
      </c>
    </row>
    <row r="57" spans="2:24" x14ac:dyDescent="0.3">
      <c r="B57" t="s">
        <v>16</v>
      </c>
      <c r="C57">
        <v>8.1999999999999993</v>
      </c>
      <c r="D57">
        <v>6.92</v>
      </c>
      <c r="E57" s="1">
        <v>19.399999999999999</v>
      </c>
      <c r="F57" s="1">
        <v>19.8</v>
      </c>
      <c r="G57" s="2">
        <v>0.66666666666666663</v>
      </c>
      <c r="H57" t="s">
        <v>36</v>
      </c>
      <c r="I57">
        <v>56</v>
      </c>
      <c r="J57">
        <v>1.5</v>
      </c>
      <c r="K57">
        <v>374</v>
      </c>
      <c r="L57">
        <v>8</v>
      </c>
      <c r="M57">
        <v>3.2638888888888884E-2</v>
      </c>
      <c r="N57">
        <v>3.2638888888888884E-2</v>
      </c>
      <c r="O57">
        <v>1.2799999999999994</v>
      </c>
      <c r="P57">
        <v>4.7871999999999975E-4</v>
      </c>
      <c r="Q57">
        <v>9.778110638297869E-3</v>
      </c>
      <c r="R57">
        <v>19.600000000000001</v>
      </c>
      <c r="S57" s="1">
        <f>F57-E57</f>
        <v>0.40000000000000213</v>
      </c>
      <c r="X57">
        <v>7.5544367301231723E-3</v>
      </c>
    </row>
    <row r="58" spans="2:24" x14ac:dyDescent="0.3">
      <c r="B58" t="s">
        <v>22</v>
      </c>
      <c r="C58">
        <v>6.89</v>
      </c>
      <c r="D58">
        <v>3.92</v>
      </c>
      <c r="E58" s="1">
        <v>16.399999999999999</v>
      </c>
      <c r="F58" s="1">
        <v>16.8</v>
      </c>
      <c r="G58" s="2">
        <v>0.4152777777777778</v>
      </c>
      <c r="H58" t="s">
        <v>37</v>
      </c>
      <c r="I58">
        <v>184</v>
      </c>
      <c r="J58">
        <v>64</v>
      </c>
      <c r="K58">
        <v>3690</v>
      </c>
      <c r="L58">
        <v>3</v>
      </c>
      <c r="M58">
        <v>3.6111111111111149E-2</v>
      </c>
      <c r="N58">
        <v>3.6111111111111149E-2</v>
      </c>
      <c r="O58">
        <v>2.9699999999999998</v>
      </c>
      <c r="P58">
        <v>1.0959299999999998E-2</v>
      </c>
      <c r="Q58">
        <v>4.7420048076923021E-3</v>
      </c>
      <c r="R58">
        <v>16.600000000000001</v>
      </c>
      <c r="S58" s="1">
        <f>F58-E58</f>
        <v>0.40000000000000213</v>
      </c>
      <c r="X58">
        <v>9.520535885167462E-3</v>
      </c>
    </row>
    <row r="59" spans="2:24" x14ac:dyDescent="0.3">
      <c r="B59" t="s">
        <v>6</v>
      </c>
      <c r="C59">
        <v>9.3000000000000007</v>
      </c>
      <c r="D59">
        <v>7.78</v>
      </c>
      <c r="E59" s="1">
        <v>10.4</v>
      </c>
      <c r="F59" s="1">
        <v>10.8</v>
      </c>
      <c r="G59" s="2">
        <v>0.3756944444444445</v>
      </c>
      <c r="H59" t="s">
        <v>35</v>
      </c>
      <c r="I59">
        <v>142</v>
      </c>
      <c r="J59">
        <v>25.3</v>
      </c>
      <c r="K59">
        <v>2340</v>
      </c>
      <c r="L59">
        <v>2</v>
      </c>
      <c r="M59">
        <v>4.3055555555555625E-2</v>
      </c>
      <c r="N59">
        <v>4.3055555555555625E-2</v>
      </c>
      <c r="O59">
        <v>1.5200000000000005</v>
      </c>
      <c r="P59">
        <v>3.556800000000001E-3</v>
      </c>
      <c r="Q59">
        <v>3.2651995409919629E-3</v>
      </c>
      <c r="R59">
        <v>10.600000000000001</v>
      </c>
      <c r="S59" s="1">
        <f>F59-E59</f>
        <v>0.40000000000000036</v>
      </c>
      <c r="X59">
        <v>8.6855111111111133E-3</v>
      </c>
    </row>
    <row r="60" spans="2:24" x14ac:dyDescent="0.3">
      <c r="B60" t="s">
        <v>7</v>
      </c>
      <c r="C60">
        <v>8.9600000000000009</v>
      </c>
      <c r="D60">
        <v>7.71</v>
      </c>
      <c r="E60" s="1">
        <v>10</v>
      </c>
      <c r="F60" s="1">
        <v>10.4</v>
      </c>
      <c r="G60" s="2">
        <v>0.38194444444444442</v>
      </c>
      <c r="H60" t="s">
        <v>35</v>
      </c>
      <c r="I60">
        <v>142</v>
      </c>
      <c r="J60">
        <v>26.1</v>
      </c>
      <c r="K60">
        <v>2340</v>
      </c>
      <c r="L60">
        <v>2</v>
      </c>
      <c r="M60">
        <v>4.6527777777777724E-2</v>
      </c>
      <c r="N60">
        <v>4.6527777777777717E-2</v>
      </c>
      <c r="O60">
        <v>1.2500000000000009</v>
      </c>
      <c r="P60">
        <v>2.9250000000000023E-3</v>
      </c>
      <c r="Q60">
        <v>2.4086464230571331E-3</v>
      </c>
      <c r="R60">
        <v>10.199999999999999</v>
      </c>
      <c r="S60" s="1">
        <f>F60-E60</f>
        <v>0.40000000000000036</v>
      </c>
      <c r="X60">
        <v>9.778110638297869E-3</v>
      </c>
    </row>
    <row r="61" spans="2:24" x14ac:dyDescent="0.3">
      <c r="B61" t="s">
        <v>7</v>
      </c>
      <c r="C61">
        <v>7.86</v>
      </c>
      <c r="D61">
        <v>6.07</v>
      </c>
      <c r="E61" s="1">
        <v>19.3</v>
      </c>
      <c r="F61" s="1">
        <v>19.7</v>
      </c>
      <c r="G61" s="2">
        <v>0.65138888888888891</v>
      </c>
      <c r="H61" t="s">
        <v>35</v>
      </c>
      <c r="I61">
        <v>142</v>
      </c>
      <c r="J61">
        <v>26.1</v>
      </c>
      <c r="K61">
        <v>2340</v>
      </c>
      <c r="L61">
        <v>6</v>
      </c>
      <c r="M61">
        <v>2.5000000000000022E-2</v>
      </c>
      <c r="N61">
        <v>2.5000000000000019E-2</v>
      </c>
      <c r="O61">
        <v>1.79</v>
      </c>
      <c r="P61">
        <v>4.1885999999999998E-3</v>
      </c>
      <c r="Q61">
        <v>6.4193103448275807E-3</v>
      </c>
      <c r="R61">
        <v>19.5</v>
      </c>
      <c r="S61" s="1">
        <f>F61-E61</f>
        <v>0.39999999999999858</v>
      </c>
      <c r="X61">
        <v>8.4756786799826331E-3</v>
      </c>
    </row>
    <row r="62" spans="2:24" x14ac:dyDescent="0.3">
      <c r="B62" t="s">
        <v>19</v>
      </c>
      <c r="C62">
        <v>8.91</v>
      </c>
      <c r="D62">
        <v>6.97</v>
      </c>
      <c r="E62" s="1">
        <v>17.100000000000001</v>
      </c>
      <c r="F62" s="1">
        <v>17.5</v>
      </c>
      <c r="G62" s="2">
        <v>0.42152777777777778</v>
      </c>
      <c r="H62" t="s">
        <v>36</v>
      </c>
      <c r="I62">
        <v>80</v>
      </c>
      <c r="J62">
        <v>3.7</v>
      </c>
      <c r="K62">
        <v>582</v>
      </c>
      <c r="L62">
        <v>3</v>
      </c>
      <c r="M62">
        <v>3.7499999999999978E-2</v>
      </c>
      <c r="N62">
        <v>3.7499999999999978E-2</v>
      </c>
      <c r="O62">
        <v>1.9400000000000004</v>
      </c>
      <c r="P62">
        <v>1.1290800000000002E-3</v>
      </c>
      <c r="Q62">
        <v>8.1375135135135206E-3</v>
      </c>
      <c r="R62">
        <v>17.3</v>
      </c>
      <c r="S62" s="1">
        <f>F62-E62</f>
        <v>0.39999999999999858</v>
      </c>
      <c r="X62">
        <v>8.2873469387754872E-3</v>
      </c>
    </row>
    <row r="63" spans="2:24" x14ac:dyDescent="0.3">
      <c r="B63" t="s">
        <v>22</v>
      </c>
      <c r="C63">
        <v>8.81</v>
      </c>
      <c r="D63">
        <v>5.8</v>
      </c>
      <c r="E63" s="1">
        <v>15.3</v>
      </c>
      <c r="F63" s="1">
        <v>15.7</v>
      </c>
      <c r="G63" s="2">
        <v>0.34166666666666662</v>
      </c>
      <c r="H63" t="s">
        <v>37</v>
      </c>
      <c r="I63">
        <v>184</v>
      </c>
      <c r="J63">
        <v>64</v>
      </c>
      <c r="K63">
        <v>3690</v>
      </c>
      <c r="L63">
        <v>2</v>
      </c>
      <c r="M63">
        <v>3.6805555555555536E-2</v>
      </c>
      <c r="N63">
        <v>3.6805555555555536E-2</v>
      </c>
      <c r="O63">
        <v>3.0100000000000007</v>
      </c>
      <c r="P63">
        <v>1.1106900000000003E-2</v>
      </c>
      <c r="Q63">
        <v>4.7151933962264192E-3</v>
      </c>
      <c r="R63">
        <v>15.5</v>
      </c>
      <c r="S63" s="1">
        <f>F63-E63</f>
        <v>0.39999999999999858</v>
      </c>
      <c r="X63">
        <v>6.9284833068362422E-3</v>
      </c>
    </row>
    <row r="64" spans="2:24" x14ac:dyDescent="0.3">
      <c r="B64" t="s">
        <v>13</v>
      </c>
      <c r="C64">
        <v>9.2799999999999994</v>
      </c>
      <c r="D64">
        <v>8.19</v>
      </c>
      <c r="E64" s="1">
        <v>17</v>
      </c>
      <c r="F64" s="1">
        <v>17.3</v>
      </c>
      <c r="G64" s="2">
        <v>0.58333333333333337</v>
      </c>
      <c r="H64" t="s">
        <v>36</v>
      </c>
      <c r="I64">
        <v>67</v>
      </c>
      <c r="J64">
        <v>2.2000000000000002</v>
      </c>
      <c r="K64">
        <v>406</v>
      </c>
      <c r="L64">
        <v>8</v>
      </c>
      <c r="M64">
        <v>3.2638888888888884E-2</v>
      </c>
      <c r="N64">
        <v>3.2638888888888884E-2</v>
      </c>
      <c r="O64">
        <v>1.0899999999999999</v>
      </c>
      <c r="P64">
        <v>4.4254E-4</v>
      </c>
      <c r="Q64">
        <v>6.1630328820116058E-3</v>
      </c>
      <c r="R64">
        <v>17.149999999999999</v>
      </c>
      <c r="S64" s="1">
        <f>F64-E64</f>
        <v>0.30000000000000071</v>
      </c>
      <c r="X64">
        <v>6.8520452830188663E-3</v>
      </c>
    </row>
    <row r="65" spans="2:24" x14ac:dyDescent="0.3">
      <c r="B65" t="s">
        <v>18</v>
      </c>
      <c r="C65">
        <v>9.7100000000000009</v>
      </c>
      <c r="D65">
        <v>6.97</v>
      </c>
      <c r="E65" s="1">
        <v>14.5</v>
      </c>
      <c r="F65" s="1">
        <v>14.8</v>
      </c>
      <c r="G65" s="2">
        <v>0.36527777777777781</v>
      </c>
      <c r="H65" t="s">
        <v>36</v>
      </c>
      <c r="I65">
        <v>65</v>
      </c>
      <c r="J65">
        <v>2.2000000000000002</v>
      </c>
      <c r="K65">
        <v>376</v>
      </c>
      <c r="L65">
        <v>4</v>
      </c>
      <c r="M65">
        <v>5.0000000000000044E-2</v>
      </c>
      <c r="N65">
        <v>5.0000000000000037E-2</v>
      </c>
      <c r="O65">
        <v>2.7400000000000011</v>
      </c>
      <c r="P65">
        <v>1.0302400000000004E-3</v>
      </c>
      <c r="Q65">
        <v>9.3658181818181765E-3</v>
      </c>
      <c r="R65">
        <v>14.65</v>
      </c>
      <c r="S65" s="1">
        <f>F65-E65</f>
        <v>0.30000000000000071</v>
      </c>
      <c r="X65">
        <v>7.820940336562986E-3</v>
      </c>
    </row>
    <row r="66" spans="2:24" x14ac:dyDescent="0.3">
      <c r="B66" t="s">
        <v>23</v>
      </c>
      <c r="C66">
        <v>6.8</v>
      </c>
      <c r="D66">
        <v>5.21</v>
      </c>
      <c r="E66" s="1">
        <v>15.8</v>
      </c>
      <c r="F66" s="1">
        <v>16.100000000000001</v>
      </c>
      <c r="G66" s="2">
        <v>0.3444444444444445</v>
      </c>
      <c r="H66" t="s">
        <v>37</v>
      </c>
      <c r="I66">
        <v>206</v>
      </c>
      <c r="J66">
        <v>70.099999999999994</v>
      </c>
      <c r="K66">
        <v>5300</v>
      </c>
      <c r="L66">
        <v>2</v>
      </c>
      <c r="M66">
        <v>3.6805555555555591E-2</v>
      </c>
      <c r="N66">
        <v>3.6805555555555591E-2</v>
      </c>
      <c r="O66">
        <v>1.5899999999999999</v>
      </c>
      <c r="P66">
        <v>8.4270000000000005E-3</v>
      </c>
      <c r="Q66">
        <v>3.2661911554921512E-3</v>
      </c>
      <c r="R66">
        <v>15.950000000000001</v>
      </c>
      <c r="S66" s="1">
        <f>F66-E66</f>
        <v>0.30000000000000071</v>
      </c>
      <c r="X66">
        <v>7.8665890909090964E-3</v>
      </c>
    </row>
    <row r="67" spans="2:24" x14ac:dyDescent="0.3">
      <c r="B67" t="s">
        <v>23</v>
      </c>
      <c r="C67">
        <v>8.0399999999999991</v>
      </c>
      <c r="D67">
        <v>6.12</v>
      </c>
      <c r="E67" s="1">
        <v>16.5</v>
      </c>
      <c r="F67" s="1">
        <v>16.8</v>
      </c>
      <c r="G67" s="2">
        <v>0.41736111111111113</v>
      </c>
      <c r="H67" t="s">
        <v>37</v>
      </c>
      <c r="I67">
        <v>206</v>
      </c>
      <c r="J67">
        <v>70.099999999999994</v>
      </c>
      <c r="K67">
        <v>5300</v>
      </c>
      <c r="L67">
        <v>3</v>
      </c>
      <c r="M67">
        <v>3.6111111111111094E-2</v>
      </c>
      <c r="N67">
        <v>3.6111111111111094E-2</v>
      </c>
      <c r="O67">
        <v>1.919999999999999</v>
      </c>
      <c r="P67">
        <v>1.0175999999999994E-2</v>
      </c>
      <c r="Q67">
        <v>4.0199275759903435E-3</v>
      </c>
      <c r="R67">
        <v>16.649999999999999</v>
      </c>
      <c r="S67" s="1">
        <f>F67-E67</f>
        <v>0.30000000000000071</v>
      </c>
      <c r="X67">
        <v>8.1375135135135206E-3</v>
      </c>
    </row>
    <row r="68" spans="2:24" x14ac:dyDescent="0.3">
      <c r="B68" t="s">
        <v>23</v>
      </c>
      <c r="C68">
        <v>8.11</v>
      </c>
      <c r="D68">
        <v>6.87</v>
      </c>
      <c r="E68" s="1">
        <v>17.399999999999999</v>
      </c>
      <c r="F68" s="1">
        <v>17.7</v>
      </c>
      <c r="G68" s="2">
        <v>0.48402777777777778</v>
      </c>
      <c r="H68" t="s">
        <v>37</v>
      </c>
      <c r="I68">
        <v>206</v>
      </c>
      <c r="J68">
        <v>70.099999999999994</v>
      </c>
      <c r="K68">
        <v>5300</v>
      </c>
      <c r="L68">
        <v>4</v>
      </c>
      <c r="M68">
        <v>2.5694444444444464E-2</v>
      </c>
      <c r="N68">
        <v>2.5694444444444464E-2</v>
      </c>
      <c r="O68">
        <v>1.2399999999999993</v>
      </c>
      <c r="P68">
        <v>6.5719999999999962E-3</v>
      </c>
      <c r="Q68">
        <v>3.6487180475768162E-3</v>
      </c>
      <c r="R68">
        <v>17.549999999999997</v>
      </c>
      <c r="S68" s="1">
        <f>F68-E68</f>
        <v>0.30000000000000071</v>
      </c>
      <c r="X68">
        <v>7.5822545454545514E-3</v>
      </c>
    </row>
    <row r="69" spans="2:24" x14ac:dyDescent="0.3">
      <c r="B69" t="s">
        <v>6</v>
      </c>
      <c r="C69">
        <v>9.5500000000000007</v>
      </c>
      <c r="D69">
        <v>8.33</v>
      </c>
      <c r="E69" s="1">
        <v>9.8000000000000007</v>
      </c>
      <c r="F69" s="1">
        <v>10.1</v>
      </c>
      <c r="G69" s="2">
        <v>0.29583333333333334</v>
      </c>
      <c r="H69" t="s">
        <v>35</v>
      </c>
      <c r="I69">
        <v>142</v>
      </c>
      <c r="J69">
        <v>25.3</v>
      </c>
      <c r="K69">
        <v>2340</v>
      </c>
      <c r="L69">
        <v>1</v>
      </c>
      <c r="M69">
        <v>4.2361111111111127E-2</v>
      </c>
      <c r="N69">
        <v>4.2361111111111127E-2</v>
      </c>
      <c r="O69">
        <v>1.2200000000000006</v>
      </c>
      <c r="P69">
        <v>2.8548000000000015E-3</v>
      </c>
      <c r="Q69">
        <v>2.6637154150197634E-3</v>
      </c>
      <c r="R69">
        <v>9.9499999999999993</v>
      </c>
      <c r="S69" s="1">
        <f>F69-E69</f>
        <v>0.29999999999999893</v>
      </c>
      <c r="X69">
        <v>8.8815021337126671E-3</v>
      </c>
    </row>
    <row r="70" spans="2:24" x14ac:dyDescent="0.3">
      <c r="B70" t="s">
        <v>8</v>
      </c>
      <c r="C70">
        <v>8.81</v>
      </c>
      <c r="D70">
        <v>7.04</v>
      </c>
      <c r="E70" s="1">
        <v>13.9</v>
      </c>
      <c r="F70" s="1">
        <v>14.2</v>
      </c>
      <c r="G70" s="2">
        <v>0.3215277777777778</v>
      </c>
      <c r="H70" t="s">
        <v>35</v>
      </c>
      <c r="I70">
        <v>115</v>
      </c>
      <c r="J70">
        <v>13</v>
      </c>
      <c r="K70">
        <v>1370</v>
      </c>
      <c r="L70">
        <v>1</v>
      </c>
      <c r="M70">
        <v>4.0277777777777801E-2</v>
      </c>
      <c r="N70">
        <v>4.0277777777777801E-2</v>
      </c>
      <c r="O70">
        <v>1.7700000000000005</v>
      </c>
      <c r="P70">
        <v>2.4249000000000011E-3</v>
      </c>
      <c r="Q70">
        <v>4.6311087533156495E-3</v>
      </c>
      <c r="R70">
        <v>14.05</v>
      </c>
      <c r="S70" s="1">
        <f>F70-E70</f>
        <v>0.29999999999999893</v>
      </c>
      <c r="X70">
        <v>7.7969230769230763E-3</v>
      </c>
    </row>
    <row r="71" spans="2:24" x14ac:dyDescent="0.3">
      <c r="B71" t="s">
        <v>11</v>
      </c>
      <c r="C71">
        <v>8.6</v>
      </c>
      <c r="D71">
        <v>7.4</v>
      </c>
      <c r="E71" s="1">
        <v>13.8</v>
      </c>
      <c r="F71" s="1">
        <v>14.1</v>
      </c>
      <c r="G71" s="2">
        <v>0.24722222222222223</v>
      </c>
      <c r="H71" t="s">
        <v>35</v>
      </c>
      <c r="I71">
        <v>114</v>
      </c>
      <c r="J71">
        <v>13.1</v>
      </c>
      <c r="K71">
        <v>2340</v>
      </c>
      <c r="L71">
        <v>1</v>
      </c>
      <c r="M71">
        <v>3.4722222222222238E-2</v>
      </c>
      <c r="N71">
        <v>3.4722222222222238E-2</v>
      </c>
      <c r="O71">
        <v>1.1999999999999993</v>
      </c>
      <c r="P71">
        <v>2.807999999999998E-3</v>
      </c>
      <c r="Q71">
        <v>6.1733129770992299E-3</v>
      </c>
      <c r="R71">
        <v>13.95</v>
      </c>
      <c r="S71" s="1">
        <f>F71-E71</f>
        <v>0.29999999999999893</v>
      </c>
      <c r="X71">
        <v>7.4424092664092684E-3</v>
      </c>
    </row>
    <row r="72" spans="2:24" x14ac:dyDescent="0.3">
      <c r="B72" t="s">
        <v>17</v>
      </c>
      <c r="C72">
        <v>9.6199999999999992</v>
      </c>
      <c r="D72">
        <v>6.08</v>
      </c>
      <c r="E72" s="1">
        <v>14.4</v>
      </c>
      <c r="F72" s="1">
        <v>14.7</v>
      </c>
      <c r="G72" s="2">
        <v>0.36388888888888887</v>
      </c>
      <c r="H72" t="s">
        <v>36</v>
      </c>
      <c r="I72">
        <v>83</v>
      </c>
      <c r="J72">
        <v>4.7</v>
      </c>
      <c r="K72">
        <v>384</v>
      </c>
      <c r="L72">
        <v>4</v>
      </c>
      <c r="M72">
        <v>4.9999999999999989E-2</v>
      </c>
      <c r="N72">
        <v>4.9999999999999989E-2</v>
      </c>
      <c r="O72">
        <v>3.5399999999999991</v>
      </c>
      <c r="P72">
        <v>1.3593599999999998E-3</v>
      </c>
      <c r="Q72">
        <v>5.7845106382978725E-3</v>
      </c>
      <c r="R72">
        <v>14.55</v>
      </c>
      <c r="S72" s="1">
        <f>F72-E72</f>
        <v>0.29999999999999893</v>
      </c>
      <c r="X72">
        <v>7.8703058823529209E-3</v>
      </c>
    </row>
    <row r="73" spans="2:24" x14ac:dyDescent="0.3">
      <c r="B73" t="s">
        <v>13</v>
      </c>
      <c r="C73">
        <v>8.5</v>
      </c>
      <c r="D73">
        <v>7.42</v>
      </c>
      <c r="E73" s="1">
        <v>19.100000000000001</v>
      </c>
      <c r="F73" s="1">
        <v>19.399999999999999</v>
      </c>
      <c r="G73" s="2">
        <v>0.6381944444444444</v>
      </c>
      <c r="H73" t="s">
        <v>36</v>
      </c>
      <c r="I73">
        <v>67</v>
      </c>
      <c r="J73">
        <v>2.2000000000000002</v>
      </c>
      <c r="K73">
        <v>406</v>
      </c>
      <c r="L73">
        <v>9</v>
      </c>
      <c r="M73">
        <v>2.1527777777777701E-2</v>
      </c>
      <c r="N73">
        <v>2.1527777777777701E-2</v>
      </c>
      <c r="O73">
        <v>1.08</v>
      </c>
      <c r="P73">
        <v>4.3848000000000004E-4</v>
      </c>
      <c r="Q73">
        <v>9.258228739002965E-3</v>
      </c>
      <c r="R73">
        <v>19.25</v>
      </c>
      <c r="S73" s="1">
        <f>F73-E73</f>
        <v>0.29999999999999716</v>
      </c>
    </row>
    <row r="74" spans="2:24" x14ac:dyDescent="0.3">
      <c r="B74" t="s">
        <v>19</v>
      </c>
      <c r="C74">
        <v>8.89</v>
      </c>
      <c r="D74">
        <v>7.06</v>
      </c>
      <c r="E74" s="1">
        <v>16.600000000000001</v>
      </c>
      <c r="F74" s="1">
        <v>16.899999999999999</v>
      </c>
      <c r="G74" s="2">
        <v>0.34652777777777777</v>
      </c>
      <c r="H74" t="s">
        <v>36</v>
      </c>
      <c r="I74">
        <v>80</v>
      </c>
      <c r="J74">
        <v>3.7</v>
      </c>
      <c r="K74">
        <v>582</v>
      </c>
      <c r="L74">
        <v>2</v>
      </c>
      <c r="M74">
        <v>3.6805555555555536E-2</v>
      </c>
      <c r="N74">
        <v>3.6805555555555536E-2</v>
      </c>
      <c r="O74">
        <v>1.830000000000001</v>
      </c>
      <c r="P74">
        <v>1.0650600000000005E-3</v>
      </c>
      <c r="Q74">
        <v>7.820940336562986E-3</v>
      </c>
      <c r="R74">
        <v>16.75</v>
      </c>
      <c r="S74" s="1">
        <f>F74-E74</f>
        <v>0.29999999999999716</v>
      </c>
    </row>
    <row r="75" spans="2:24" x14ac:dyDescent="0.3">
      <c r="B75" t="s">
        <v>20</v>
      </c>
      <c r="C75">
        <v>9.14</v>
      </c>
      <c r="D75">
        <v>6.65</v>
      </c>
      <c r="E75" s="1">
        <v>16.600000000000001</v>
      </c>
      <c r="F75" s="1">
        <v>16.899999999999999</v>
      </c>
      <c r="G75" s="2">
        <v>0.34930555555555554</v>
      </c>
      <c r="H75" t="s">
        <v>36</v>
      </c>
      <c r="I75">
        <v>73</v>
      </c>
      <c r="J75">
        <v>3</v>
      </c>
      <c r="K75">
        <v>362</v>
      </c>
      <c r="L75">
        <v>2</v>
      </c>
      <c r="M75">
        <v>3.819444444444442E-2</v>
      </c>
      <c r="N75">
        <v>3.819444444444442E-2</v>
      </c>
      <c r="O75">
        <v>2.4900000000000002</v>
      </c>
      <c r="P75">
        <v>9.0138000000000002E-4</v>
      </c>
      <c r="Q75">
        <v>7.8665890909090964E-3</v>
      </c>
      <c r="R75">
        <v>16.75</v>
      </c>
      <c r="S75" s="1">
        <f>F75-E75</f>
        <v>0.29999999999999716</v>
      </c>
    </row>
    <row r="76" spans="2:24" x14ac:dyDescent="0.3">
      <c r="B76" t="s">
        <v>19</v>
      </c>
      <c r="C76">
        <v>7.24</v>
      </c>
      <c r="D76">
        <v>5.68</v>
      </c>
      <c r="E76" s="1">
        <v>16.399999999999999</v>
      </c>
      <c r="F76" s="1">
        <v>16.600000000000001</v>
      </c>
      <c r="G76" s="2">
        <v>0.25833333333333336</v>
      </c>
      <c r="H76" t="s">
        <v>36</v>
      </c>
      <c r="I76">
        <v>80</v>
      </c>
      <c r="J76">
        <v>3.7</v>
      </c>
      <c r="K76">
        <v>582</v>
      </c>
      <c r="L76">
        <v>1</v>
      </c>
      <c r="M76">
        <v>3.5416666666666707E-2</v>
      </c>
      <c r="N76">
        <v>3.5416666666666707E-2</v>
      </c>
      <c r="O76">
        <v>1.5600000000000005</v>
      </c>
      <c r="P76">
        <v>9.0792000000000032E-4</v>
      </c>
      <c r="Q76">
        <v>6.9284833068362422E-3</v>
      </c>
      <c r="R76">
        <v>16.5</v>
      </c>
      <c r="S76" s="1">
        <f>F76-E76</f>
        <v>0.20000000000000284</v>
      </c>
    </row>
    <row r="77" spans="2:24" x14ac:dyDescent="0.3">
      <c r="B77" t="s">
        <v>10</v>
      </c>
      <c r="C77">
        <v>8.43</v>
      </c>
      <c r="D77">
        <v>6.93</v>
      </c>
      <c r="E77" s="1">
        <v>13.7</v>
      </c>
      <c r="F77" s="1">
        <v>13.9</v>
      </c>
      <c r="G77" s="2">
        <v>0.32430555555555557</v>
      </c>
      <c r="H77" t="s">
        <v>35</v>
      </c>
      <c r="I77">
        <v>160</v>
      </c>
      <c r="J77">
        <v>34.5</v>
      </c>
      <c r="K77">
        <v>3690</v>
      </c>
      <c r="L77">
        <v>1</v>
      </c>
      <c r="M77">
        <v>3.9583333333333359E-2</v>
      </c>
      <c r="N77">
        <v>3.9583333333333359E-2</v>
      </c>
      <c r="O77">
        <v>1.5</v>
      </c>
      <c r="P77">
        <v>5.535E-3</v>
      </c>
      <c r="Q77">
        <v>4.0530892448512566E-3</v>
      </c>
      <c r="R77">
        <v>13.8</v>
      </c>
      <c r="S77" s="1">
        <f>F77-E77</f>
        <v>0.20000000000000107</v>
      </c>
    </row>
    <row r="78" spans="2:24" x14ac:dyDescent="0.3">
      <c r="B78" t="s">
        <v>21</v>
      </c>
      <c r="C78">
        <v>9.1</v>
      </c>
      <c r="D78">
        <v>7.9</v>
      </c>
      <c r="E78" s="1">
        <v>10.6</v>
      </c>
      <c r="F78" s="1">
        <v>10.8</v>
      </c>
      <c r="G78" s="2">
        <v>0.37916666666666665</v>
      </c>
      <c r="H78" t="s">
        <v>37</v>
      </c>
      <c r="I78">
        <v>163</v>
      </c>
      <c r="J78">
        <v>42.9</v>
      </c>
      <c r="K78">
        <v>3690</v>
      </c>
      <c r="L78">
        <v>1</v>
      </c>
      <c r="M78">
        <v>4.7916666666666663E-2</v>
      </c>
      <c r="N78">
        <v>4.791666666666667E-2</v>
      </c>
      <c r="O78">
        <v>1.1999999999999993</v>
      </c>
      <c r="P78">
        <v>4.427999999999997E-3</v>
      </c>
      <c r="Q78">
        <v>2.1540893888719959E-3</v>
      </c>
      <c r="R78">
        <v>10.7</v>
      </c>
      <c r="S78" s="1">
        <f>F78-E78</f>
        <v>0.20000000000000107</v>
      </c>
    </row>
    <row r="79" spans="2:24" x14ac:dyDescent="0.3">
      <c r="B79" t="s">
        <v>22</v>
      </c>
      <c r="C79">
        <v>6.98</v>
      </c>
      <c r="D79">
        <v>4.51</v>
      </c>
      <c r="E79" s="1">
        <v>14.7</v>
      </c>
      <c r="F79" s="1">
        <v>14.9</v>
      </c>
      <c r="G79" s="2">
        <v>0.24930555555555556</v>
      </c>
      <c r="H79" t="s">
        <v>37</v>
      </c>
      <c r="I79">
        <v>184</v>
      </c>
      <c r="J79">
        <v>64</v>
      </c>
      <c r="K79">
        <v>3690</v>
      </c>
      <c r="L79">
        <v>1</v>
      </c>
      <c r="M79">
        <v>3.3333333333333326E-2</v>
      </c>
      <c r="N79">
        <v>3.3333333333333326E-2</v>
      </c>
      <c r="O79">
        <v>2.4700000000000006</v>
      </c>
      <c r="P79">
        <v>9.1143000000000023E-3</v>
      </c>
      <c r="Q79">
        <v>4.2723281250000023E-3</v>
      </c>
      <c r="R79">
        <v>14.8</v>
      </c>
      <c r="S79" s="1">
        <f>F79-E79</f>
        <v>0.20000000000000107</v>
      </c>
    </row>
    <row r="80" spans="2:24" x14ac:dyDescent="0.3">
      <c r="B80" t="s">
        <v>7</v>
      </c>
      <c r="C80">
        <v>10.17</v>
      </c>
      <c r="D80">
        <v>8.98</v>
      </c>
      <c r="E80" s="1">
        <v>9.5</v>
      </c>
      <c r="F80" s="1">
        <v>9.6999999999999993</v>
      </c>
      <c r="G80" s="2">
        <v>0.29930555555555555</v>
      </c>
      <c r="H80" t="s">
        <v>35</v>
      </c>
      <c r="I80">
        <v>142</v>
      </c>
      <c r="J80">
        <v>26.1</v>
      </c>
      <c r="K80">
        <v>2340</v>
      </c>
      <c r="L80">
        <v>1</v>
      </c>
      <c r="M80">
        <v>4.4444444444444453E-2</v>
      </c>
      <c r="N80">
        <v>4.4444444444444453E-2</v>
      </c>
      <c r="O80">
        <v>1.1899999999999995</v>
      </c>
      <c r="P80">
        <v>2.7845999999999991E-3</v>
      </c>
      <c r="Q80">
        <v>2.4005172413793089E-3</v>
      </c>
      <c r="R80">
        <v>9.6</v>
      </c>
      <c r="S80" s="1">
        <f>F80-E80</f>
        <v>0.19999999999999929</v>
      </c>
    </row>
    <row r="81" spans="2:19" x14ac:dyDescent="0.3">
      <c r="B81" t="s">
        <v>9</v>
      </c>
      <c r="C81">
        <v>8.61</v>
      </c>
      <c r="D81">
        <v>6.65</v>
      </c>
      <c r="E81" s="1">
        <v>13.9</v>
      </c>
      <c r="F81" s="1">
        <v>14.1</v>
      </c>
      <c r="G81" s="2">
        <v>0.32291666666666669</v>
      </c>
      <c r="H81" t="s">
        <v>35</v>
      </c>
      <c r="I81">
        <v>116</v>
      </c>
      <c r="J81">
        <v>13.5</v>
      </c>
      <c r="K81">
        <v>1370</v>
      </c>
      <c r="L81">
        <v>1</v>
      </c>
      <c r="M81">
        <v>3.9583333333333359E-2</v>
      </c>
      <c r="N81">
        <v>3.9583333333333359E-2</v>
      </c>
      <c r="O81">
        <v>1.9599999999999991</v>
      </c>
      <c r="P81">
        <v>2.6851999999999991E-3</v>
      </c>
      <c r="Q81">
        <v>5.0249356725146146E-3</v>
      </c>
      <c r="R81">
        <v>14</v>
      </c>
      <c r="S81" s="1">
        <f>F81-E81</f>
        <v>0.19999999999999929</v>
      </c>
    </row>
    <row r="82" spans="2:19" x14ac:dyDescent="0.3">
      <c r="B82" t="s">
        <v>12</v>
      </c>
      <c r="C82">
        <v>9.3800000000000008</v>
      </c>
      <c r="D82">
        <v>8.09</v>
      </c>
      <c r="E82" s="1">
        <v>17</v>
      </c>
      <c r="F82" s="1">
        <v>17.2</v>
      </c>
      <c r="G82" s="2">
        <v>0.58124999999999993</v>
      </c>
      <c r="H82" t="s">
        <v>36</v>
      </c>
      <c r="I82">
        <v>76</v>
      </c>
      <c r="J82">
        <v>3.4</v>
      </c>
      <c r="K82">
        <v>582</v>
      </c>
      <c r="L82">
        <v>9</v>
      </c>
      <c r="M82">
        <v>3.1944444444444331E-2</v>
      </c>
      <c r="N82">
        <v>3.1944444444444331E-2</v>
      </c>
      <c r="O82">
        <v>1.2900000000000009</v>
      </c>
      <c r="P82">
        <v>7.5078000000000048E-4</v>
      </c>
      <c r="Q82">
        <v>6.9125524296675478E-3</v>
      </c>
      <c r="R82">
        <v>17.100000000000001</v>
      </c>
      <c r="S82" s="1">
        <f>F82-E82</f>
        <v>0.19999999999999929</v>
      </c>
    </row>
    <row r="83" spans="2:19" x14ac:dyDescent="0.3">
      <c r="B83" t="s">
        <v>16</v>
      </c>
      <c r="C83">
        <v>9.8000000000000007</v>
      </c>
      <c r="D83">
        <v>8.64</v>
      </c>
      <c r="E83" s="1">
        <v>14.5</v>
      </c>
      <c r="F83" s="1">
        <v>14.7</v>
      </c>
      <c r="G83" s="2">
        <v>0.35694444444444445</v>
      </c>
      <c r="H83" t="s">
        <v>36</v>
      </c>
      <c r="I83">
        <v>56</v>
      </c>
      <c r="J83">
        <v>1.5</v>
      </c>
      <c r="K83">
        <v>374</v>
      </c>
      <c r="L83">
        <v>4</v>
      </c>
      <c r="M83">
        <v>4.5138888888888895E-2</v>
      </c>
      <c r="N83">
        <v>4.5138888888888902E-2</v>
      </c>
      <c r="O83">
        <v>1.1600000000000001</v>
      </c>
      <c r="P83">
        <v>4.3384000000000006E-4</v>
      </c>
      <c r="Q83">
        <v>6.4074830769230758E-3</v>
      </c>
      <c r="R83">
        <v>14.6</v>
      </c>
      <c r="S83" s="1">
        <f>F83-E83</f>
        <v>0.19999999999999929</v>
      </c>
    </row>
    <row r="84" spans="2:19" x14ac:dyDescent="0.3">
      <c r="B84" t="s">
        <v>15</v>
      </c>
      <c r="C84">
        <v>9.5</v>
      </c>
      <c r="D84">
        <v>7.9</v>
      </c>
      <c r="E84" s="1">
        <v>14.5</v>
      </c>
      <c r="F84" s="1">
        <v>14.7</v>
      </c>
      <c r="G84" s="2">
        <v>0.35972222222222222</v>
      </c>
      <c r="H84" t="s">
        <v>36</v>
      </c>
      <c r="I84">
        <v>67</v>
      </c>
      <c r="J84">
        <v>2.7</v>
      </c>
      <c r="K84">
        <v>372</v>
      </c>
      <c r="L84">
        <v>4</v>
      </c>
      <c r="M84">
        <v>4.2361111111111072E-2</v>
      </c>
      <c r="N84">
        <v>4.2361111111111072E-2</v>
      </c>
      <c r="O84">
        <v>1.5999999999999996</v>
      </c>
      <c r="P84">
        <v>5.9519999999999983E-4</v>
      </c>
      <c r="Q84">
        <v>5.2039344262295112E-3</v>
      </c>
      <c r="R84">
        <v>14.6</v>
      </c>
      <c r="S84" s="1">
        <f>F84-E84</f>
        <v>0.19999999999999929</v>
      </c>
    </row>
    <row r="85" spans="2:19" x14ac:dyDescent="0.3">
      <c r="B85" t="s">
        <v>20</v>
      </c>
      <c r="C85">
        <v>6.74</v>
      </c>
      <c r="D85">
        <v>4.6500000000000004</v>
      </c>
      <c r="E85" s="1">
        <v>16.5</v>
      </c>
      <c r="F85" s="1">
        <v>16.600000000000001</v>
      </c>
      <c r="G85" s="2">
        <v>0.26180555555555557</v>
      </c>
      <c r="H85" t="s">
        <v>36</v>
      </c>
      <c r="I85">
        <v>73</v>
      </c>
      <c r="J85">
        <v>3</v>
      </c>
      <c r="K85">
        <v>362</v>
      </c>
      <c r="L85">
        <v>1</v>
      </c>
      <c r="M85">
        <v>3.6805555555555564E-2</v>
      </c>
      <c r="N85">
        <v>3.6805555555555564E-2</v>
      </c>
      <c r="O85">
        <v>2.09</v>
      </c>
      <c r="P85">
        <v>7.5657999999999997E-4</v>
      </c>
      <c r="Q85">
        <v>6.8520452830188663E-3</v>
      </c>
      <c r="R85">
        <v>16.55</v>
      </c>
      <c r="S85" s="1">
        <f>F85-E85</f>
        <v>0.10000000000000142</v>
      </c>
    </row>
    <row r="86" spans="2:19" x14ac:dyDescent="0.3">
      <c r="B86" t="s">
        <v>23</v>
      </c>
      <c r="C86">
        <v>7.1</v>
      </c>
      <c r="D86">
        <v>5.51</v>
      </c>
      <c r="E86" s="1">
        <v>15.5</v>
      </c>
      <c r="F86" s="1">
        <v>15.6</v>
      </c>
      <c r="G86" s="2">
        <v>0.25416666666666665</v>
      </c>
      <c r="H86" t="s">
        <v>37</v>
      </c>
      <c r="I86">
        <v>206</v>
      </c>
      <c r="J86">
        <v>70.099999999999994</v>
      </c>
      <c r="K86">
        <v>5300</v>
      </c>
      <c r="L86">
        <v>1</v>
      </c>
      <c r="M86">
        <v>3.5416666666666652E-2</v>
      </c>
      <c r="N86">
        <v>3.5416666666666652E-2</v>
      </c>
      <c r="O86">
        <v>1.5899999999999999</v>
      </c>
      <c r="P86">
        <v>8.4270000000000005E-3</v>
      </c>
      <c r="Q86">
        <v>3.3942770831585146E-3</v>
      </c>
      <c r="R86">
        <v>15.55</v>
      </c>
      <c r="S86" s="1">
        <f>F86-E86</f>
        <v>9.9999999999999645E-2</v>
      </c>
    </row>
    <row r="87" spans="2:19" x14ac:dyDescent="0.3">
      <c r="B87" t="s">
        <v>15</v>
      </c>
      <c r="C87">
        <v>8.8000000000000007</v>
      </c>
      <c r="D87">
        <v>6.83</v>
      </c>
      <c r="E87" s="1">
        <v>19.600000000000001</v>
      </c>
      <c r="F87" s="1">
        <v>19.7</v>
      </c>
      <c r="G87" s="2">
        <v>0.66388888888888886</v>
      </c>
      <c r="H87" t="s">
        <v>36</v>
      </c>
      <c r="I87">
        <v>67</v>
      </c>
      <c r="J87">
        <v>2.7</v>
      </c>
      <c r="K87">
        <v>372</v>
      </c>
      <c r="L87">
        <v>8</v>
      </c>
      <c r="M87">
        <v>3.125E-2</v>
      </c>
      <c r="N87">
        <v>3.125E-2</v>
      </c>
      <c r="O87">
        <v>1.9700000000000006</v>
      </c>
      <c r="P87">
        <v>7.3284000000000023E-4</v>
      </c>
      <c r="Q87">
        <v>8.6855111111111133E-3</v>
      </c>
      <c r="R87">
        <v>19.649999999999999</v>
      </c>
      <c r="S87" s="1">
        <f>F87-E87</f>
        <v>9.9999999999997868E-2</v>
      </c>
    </row>
    <row r="88" spans="2:19" x14ac:dyDescent="0.3">
      <c r="B88" t="s">
        <v>21</v>
      </c>
      <c r="C88">
        <v>6.07</v>
      </c>
      <c r="D88">
        <v>5.08</v>
      </c>
      <c r="E88" s="1">
        <v>19.3</v>
      </c>
      <c r="F88" s="1">
        <v>19.399999999999999</v>
      </c>
      <c r="G88" s="2">
        <v>0.70972222222222225</v>
      </c>
      <c r="H88" t="s">
        <v>37</v>
      </c>
      <c r="I88">
        <v>163</v>
      </c>
      <c r="J88">
        <v>42.9</v>
      </c>
      <c r="K88">
        <v>3690</v>
      </c>
      <c r="L88">
        <v>6</v>
      </c>
      <c r="M88">
        <v>1.5277777777777724E-2</v>
      </c>
      <c r="N88">
        <v>1.5277777777777724E-2</v>
      </c>
      <c r="O88">
        <v>0.99000000000000021</v>
      </c>
      <c r="P88">
        <v>3.6531000000000007E-3</v>
      </c>
      <c r="Q88">
        <v>5.5737062937063148E-3</v>
      </c>
      <c r="R88">
        <v>19.350000000000001</v>
      </c>
      <c r="S88" s="1">
        <f>F88-E88</f>
        <v>9.9999999999997868E-2</v>
      </c>
    </row>
    <row r="89" spans="2:19" x14ac:dyDescent="0.3">
      <c r="B89" t="s">
        <v>7</v>
      </c>
      <c r="C89">
        <v>7.86</v>
      </c>
      <c r="D89">
        <v>6.39</v>
      </c>
      <c r="E89" s="1">
        <v>20</v>
      </c>
      <c r="F89" s="1">
        <v>20</v>
      </c>
      <c r="G89" s="2">
        <v>0.70763888888888893</v>
      </c>
      <c r="H89" t="s">
        <v>35</v>
      </c>
      <c r="I89">
        <v>142</v>
      </c>
      <c r="J89">
        <v>26.1</v>
      </c>
      <c r="K89">
        <v>2340</v>
      </c>
      <c r="L89">
        <v>7</v>
      </c>
      <c r="M89">
        <v>2.0138888888888928E-2</v>
      </c>
      <c r="N89">
        <v>2.0138888888888928E-2</v>
      </c>
      <c r="O89">
        <v>1.4700000000000006</v>
      </c>
      <c r="P89">
        <v>3.4398000000000011E-3</v>
      </c>
      <c r="Q89">
        <v>6.5442092746729975E-3</v>
      </c>
      <c r="R89">
        <v>20</v>
      </c>
      <c r="S89" s="1">
        <f>F89-E89</f>
        <v>0</v>
      </c>
    </row>
    <row r="90" spans="2:19" x14ac:dyDescent="0.3">
      <c r="B90" t="s">
        <v>6</v>
      </c>
      <c r="C90">
        <v>5.76</v>
      </c>
      <c r="D90">
        <v>4.6500000000000004</v>
      </c>
      <c r="E90" s="1">
        <v>20.6</v>
      </c>
      <c r="F90" s="1">
        <v>20.6</v>
      </c>
      <c r="G90" s="2">
        <v>0.71319444444444446</v>
      </c>
      <c r="H90" t="s">
        <v>35</v>
      </c>
      <c r="I90">
        <v>142</v>
      </c>
      <c r="J90">
        <v>25.3</v>
      </c>
      <c r="K90">
        <v>2340</v>
      </c>
      <c r="L90">
        <v>7</v>
      </c>
      <c r="M90">
        <v>1.2500000000000067E-2</v>
      </c>
      <c r="N90">
        <v>1.2500000000000067E-2</v>
      </c>
      <c r="O90">
        <v>1.1099999999999994</v>
      </c>
      <c r="P90">
        <v>2.5973999999999984E-3</v>
      </c>
      <c r="Q90">
        <v>8.2131225296442206E-3</v>
      </c>
      <c r="R90">
        <v>20.6</v>
      </c>
      <c r="S90" s="1">
        <f>F90-E90</f>
        <v>0</v>
      </c>
    </row>
    <row r="91" spans="2:19" x14ac:dyDescent="0.3">
      <c r="B91" t="s">
        <v>9</v>
      </c>
      <c r="C91">
        <v>7.83</v>
      </c>
      <c r="D91">
        <v>5.04</v>
      </c>
      <c r="E91" s="1">
        <v>23</v>
      </c>
      <c r="F91" s="1">
        <v>23</v>
      </c>
      <c r="G91" s="2">
        <v>0.7270833333333333</v>
      </c>
      <c r="H91" t="s">
        <v>35</v>
      </c>
      <c r="I91">
        <v>116</v>
      </c>
      <c r="J91">
        <v>13.5</v>
      </c>
      <c r="K91">
        <v>1370</v>
      </c>
      <c r="L91">
        <v>6</v>
      </c>
      <c r="M91">
        <v>2.6388888888888906E-2</v>
      </c>
      <c r="N91">
        <v>2.638888888888891E-2</v>
      </c>
      <c r="O91">
        <v>2.79</v>
      </c>
      <c r="P91">
        <v>3.8223000000000003E-3</v>
      </c>
      <c r="Q91">
        <v>1.072926315789473E-2</v>
      </c>
      <c r="R91">
        <v>23</v>
      </c>
      <c r="S91" s="1">
        <f>F91-E91</f>
        <v>0</v>
      </c>
    </row>
    <row r="92" spans="2:19" x14ac:dyDescent="0.3">
      <c r="B92" t="s">
        <v>10</v>
      </c>
      <c r="C92">
        <v>6.07</v>
      </c>
      <c r="D92">
        <v>4.66</v>
      </c>
      <c r="E92" s="1">
        <v>21.7</v>
      </c>
      <c r="F92" s="1">
        <v>21.7</v>
      </c>
      <c r="G92" s="2">
        <v>0.72291666666666676</v>
      </c>
      <c r="H92" t="s">
        <v>35</v>
      </c>
      <c r="I92">
        <v>160</v>
      </c>
      <c r="J92">
        <v>34.5</v>
      </c>
      <c r="K92">
        <v>3690</v>
      </c>
      <c r="L92">
        <v>6</v>
      </c>
      <c r="M92">
        <v>2.0138888888888928E-2</v>
      </c>
      <c r="N92">
        <v>2.0138888888888928E-2</v>
      </c>
      <c r="O92">
        <v>1.4100000000000001</v>
      </c>
      <c r="P92">
        <v>5.2029000000000008E-3</v>
      </c>
      <c r="Q92">
        <v>7.4884317841079325E-3</v>
      </c>
      <c r="R92">
        <v>21.7</v>
      </c>
      <c r="S92" s="1">
        <f>F92-E92</f>
        <v>0</v>
      </c>
    </row>
    <row r="93" spans="2:19" x14ac:dyDescent="0.3">
      <c r="B93" t="s">
        <v>14</v>
      </c>
      <c r="C93">
        <v>7.24</v>
      </c>
      <c r="D93">
        <v>5.97</v>
      </c>
      <c r="E93" s="1">
        <v>11.6</v>
      </c>
      <c r="F93" s="1">
        <v>11.6</v>
      </c>
      <c r="G93" s="2">
        <v>0.28680555555555554</v>
      </c>
      <c r="H93" t="s">
        <v>36</v>
      </c>
      <c r="I93">
        <v>66</v>
      </c>
      <c r="J93">
        <v>2.2999999999999998</v>
      </c>
      <c r="K93">
        <v>362</v>
      </c>
      <c r="L93">
        <v>5</v>
      </c>
      <c r="M93">
        <v>4.5138888888888867E-2</v>
      </c>
      <c r="N93">
        <v>4.5138888888888867E-2</v>
      </c>
      <c r="O93">
        <v>1.2700000000000005</v>
      </c>
      <c r="P93">
        <v>4.5974000000000015E-4</v>
      </c>
      <c r="Q93">
        <v>4.4282648829431477E-3</v>
      </c>
      <c r="R93">
        <v>11.6</v>
      </c>
      <c r="S93" s="1">
        <f>F93-E93</f>
        <v>0</v>
      </c>
    </row>
    <row r="94" spans="2:19" x14ac:dyDescent="0.3">
      <c r="B94" t="s">
        <v>13</v>
      </c>
      <c r="C94">
        <v>10.43</v>
      </c>
      <c r="D94">
        <v>7.99</v>
      </c>
      <c r="E94" s="1">
        <v>11.5</v>
      </c>
      <c r="F94" s="1">
        <v>11.5</v>
      </c>
      <c r="G94" s="2">
        <v>0.28472222222222221</v>
      </c>
      <c r="H94" t="s">
        <v>36</v>
      </c>
      <c r="I94">
        <v>67</v>
      </c>
      <c r="J94">
        <v>2.2000000000000002</v>
      </c>
      <c r="K94">
        <v>406</v>
      </c>
      <c r="L94">
        <v>4</v>
      </c>
      <c r="M94">
        <v>4.0972222222222215E-2</v>
      </c>
      <c r="N94">
        <v>4.0972222222222215E-2</v>
      </c>
      <c r="O94">
        <v>2.4399999999999995</v>
      </c>
      <c r="P94">
        <v>9.9063999999999988E-4</v>
      </c>
      <c r="Q94">
        <v>1.0990151001540832E-2</v>
      </c>
      <c r="R94">
        <v>11.5</v>
      </c>
      <c r="S94" s="1">
        <f>F94-E94</f>
        <v>0</v>
      </c>
    </row>
    <row r="95" spans="2:19" x14ac:dyDescent="0.3">
      <c r="B95" t="s">
        <v>17</v>
      </c>
      <c r="C95">
        <v>7.07</v>
      </c>
      <c r="D95">
        <v>4.59</v>
      </c>
      <c r="E95" s="1">
        <v>19.2</v>
      </c>
      <c r="F95" s="1">
        <v>19.2</v>
      </c>
      <c r="G95" s="2">
        <v>0.77430555555555547</v>
      </c>
      <c r="H95" t="s">
        <v>36</v>
      </c>
      <c r="I95">
        <v>83</v>
      </c>
      <c r="J95">
        <v>4.7</v>
      </c>
      <c r="K95">
        <v>384</v>
      </c>
      <c r="L95">
        <v>1</v>
      </c>
      <c r="M95">
        <v>2.9166666666666563E-2</v>
      </c>
      <c r="N95">
        <v>2.9166666666666563E-2</v>
      </c>
      <c r="O95">
        <v>2.4800000000000004</v>
      </c>
      <c r="P95">
        <v>9.5232000000000021E-4</v>
      </c>
      <c r="Q95">
        <v>6.9470151975684147E-3</v>
      </c>
      <c r="R95">
        <v>19.2</v>
      </c>
      <c r="S95" s="1">
        <f>F95-E95</f>
        <v>0</v>
      </c>
    </row>
    <row r="96" spans="2:19" x14ac:dyDescent="0.3">
      <c r="B96" t="s">
        <v>20</v>
      </c>
      <c r="C96">
        <v>8.81</v>
      </c>
      <c r="D96">
        <v>6.5</v>
      </c>
      <c r="E96" s="1">
        <v>18.7</v>
      </c>
      <c r="F96" s="1">
        <v>18.7</v>
      </c>
      <c r="G96" s="2">
        <v>0.70486111111111116</v>
      </c>
      <c r="H96" t="s">
        <v>36</v>
      </c>
      <c r="I96">
        <v>73</v>
      </c>
      <c r="J96">
        <v>3</v>
      </c>
      <c r="K96">
        <v>362</v>
      </c>
      <c r="L96">
        <v>5</v>
      </c>
      <c r="M96">
        <v>3.5416666666666763E-2</v>
      </c>
      <c r="N96">
        <v>3.5416666666666763E-2</v>
      </c>
      <c r="O96">
        <v>2.3100000000000005</v>
      </c>
      <c r="P96">
        <v>8.3622000000000015E-4</v>
      </c>
      <c r="Q96">
        <v>7.8703058823529209E-3</v>
      </c>
      <c r="R96">
        <v>18.7</v>
      </c>
      <c r="S96" s="1">
        <f>F96-E96</f>
        <v>0</v>
      </c>
    </row>
    <row r="97" spans="2:19" x14ac:dyDescent="0.3">
      <c r="B97" t="s">
        <v>18</v>
      </c>
      <c r="C97">
        <v>7.34</v>
      </c>
      <c r="D97">
        <v>5.64</v>
      </c>
      <c r="E97" s="1">
        <v>19.399999999999999</v>
      </c>
      <c r="F97" s="1">
        <v>19.3</v>
      </c>
      <c r="G97" s="2">
        <v>0.77569444444444446</v>
      </c>
      <c r="H97" t="s">
        <v>36</v>
      </c>
      <c r="I97">
        <v>65</v>
      </c>
      <c r="J97">
        <v>2.2000000000000002</v>
      </c>
      <c r="K97">
        <v>376</v>
      </c>
      <c r="L97">
        <v>1</v>
      </c>
      <c r="M97">
        <v>2.9166666666666674E-2</v>
      </c>
      <c r="N97">
        <v>2.9166666666666678E-2</v>
      </c>
      <c r="O97">
        <v>1.7000000000000002</v>
      </c>
      <c r="P97">
        <v>6.3920000000000014E-4</v>
      </c>
      <c r="Q97">
        <v>9.9615584415584379E-3</v>
      </c>
      <c r="R97">
        <v>19.350000000000001</v>
      </c>
      <c r="S97" s="1">
        <f>F97-E97</f>
        <v>-9.9999999999997868E-2</v>
      </c>
    </row>
    <row r="98" spans="2:19" x14ac:dyDescent="0.3">
      <c r="B98" t="s">
        <v>16</v>
      </c>
      <c r="C98">
        <v>8.57</v>
      </c>
      <c r="D98">
        <v>7.46</v>
      </c>
      <c r="E98" s="1">
        <v>18.7</v>
      </c>
      <c r="F98" s="1">
        <v>18.600000000000001</v>
      </c>
      <c r="G98" s="2">
        <v>0.85902777777777783</v>
      </c>
      <c r="H98" t="s">
        <v>36</v>
      </c>
      <c r="I98">
        <v>56</v>
      </c>
      <c r="J98">
        <v>1.5</v>
      </c>
      <c r="K98">
        <v>374</v>
      </c>
      <c r="L98">
        <v>2</v>
      </c>
      <c r="M98">
        <v>3.4027777777777768E-2</v>
      </c>
      <c r="N98">
        <v>3.4027777777777768E-2</v>
      </c>
      <c r="O98">
        <v>1.1100000000000003</v>
      </c>
      <c r="P98">
        <v>4.1514000000000009E-4</v>
      </c>
      <c r="Q98">
        <v>8.1333551020408203E-3</v>
      </c>
      <c r="R98">
        <v>18.649999999999999</v>
      </c>
      <c r="S98" s="1">
        <f>F98-E98</f>
        <v>-9.9999999999997868E-2</v>
      </c>
    </row>
    <row r="99" spans="2:19" x14ac:dyDescent="0.3">
      <c r="B99" t="s">
        <v>22</v>
      </c>
      <c r="C99">
        <v>7.5</v>
      </c>
      <c r="D99">
        <v>3.4</v>
      </c>
      <c r="E99" s="1">
        <v>18.899999999999999</v>
      </c>
      <c r="F99" s="1">
        <v>18.8</v>
      </c>
      <c r="G99" s="2">
        <v>0.69930555555555562</v>
      </c>
      <c r="H99" t="s">
        <v>37</v>
      </c>
      <c r="I99">
        <v>184</v>
      </c>
      <c r="J99">
        <v>64</v>
      </c>
      <c r="K99">
        <v>3690</v>
      </c>
      <c r="L99">
        <v>4</v>
      </c>
      <c r="M99">
        <v>3.5416666666666763E-2</v>
      </c>
      <c r="N99">
        <v>3.5416666666666763E-2</v>
      </c>
      <c r="O99">
        <v>4.0999999999999996</v>
      </c>
      <c r="P99">
        <v>1.5128999999999998E-2</v>
      </c>
      <c r="Q99">
        <v>6.6745588235293928E-3</v>
      </c>
      <c r="R99">
        <v>18.850000000000001</v>
      </c>
      <c r="S99" s="1">
        <f>F99-E99</f>
        <v>-9.9999999999997868E-2</v>
      </c>
    </row>
    <row r="100" spans="2:19" x14ac:dyDescent="0.3">
      <c r="B100" t="s">
        <v>23</v>
      </c>
      <c r="C100">
        <v>6.2</v>
      </c>
      <c r="D100">
        <v>4.4400000000000004</v>
      </c>
      <c r="E100" s="1">
        <v>18.7</v>
      </c>
      <c r="F100" s="1">
        <v>18.600000000000001</v>
      </c>
      <c r="G100" s="2">
        <v>0.70138888888888884</v>
      </c>
      <c r="H100" t="s">
        <v>37</v>
      </c>
      <c r="I100">
        <v>206</v>
      </c>
      <c r="J100">
        <v>70.099999999999994</v>
      </c>
      <c r="K100">
        <v>5300</v>
      </c>
      <c r="L100">
        <v>5</v>
      </c>
      <c r="M100">
        <v>3.472222222222221E-2</v>
      </c>
      <c r="N100">
        <v>3.472222222222221E-2</v>
      </c>
      <c r="O100">
        <v>1.7599999999999998</v>
      </c>
      <c r="P100">
        <v>9.3279999999999995E-3</v>
      </c>
      <c r="Q100">
        <v>3.8323309557774621E-3</v>
      </c>
      <c r="R100">
        <v>18.649999999999999</v>
      </c>
      <c r="S100" s="1">
        <f>F100-E100</f>
        <v>-9.9999999999997868E-2</v>
      </c>
    </row>
    <row r="101" spans="2:19" x14ac:dyDescent="0.3">
      <c r="B101" t="s">
        <v>14</v>
      </c>
      <c r="C101">
        <v>10.4</v>
      </c>
      <c r="D101">
        <v>8.61</v>
      </c>
      <c r="E101" s="1">
        <v>11.7</v>
      </c>
      <c r="F101" s="1">
        <v>11.6</v>
      </c>
      <c r="G101" s="2">
        <v>0.20833333333333334</v>
      </c>
      <c r="H101" t="s">
        <v>36</v>
      </c>
      <c r="I101">
        <v>66</v>
      </c>
      <c r="J101">
        <v>2.2999999999999998</v>
      </c>
      <c r="K101">
        <v>362</v>
      </c>
      <c r="L101">
        <v>4</v>
      </c>
      <c r="M101">
        <v>3.9583333333333359E-2</v>
      </c>
      <c r="N101">
        <v>3.9583333333333359E-2</v>
      </c>
      <c r="O101">
        <v>1.7900000000000009</v>
      </c>
      <c r="P101">
        <v>6.4798000000000037E-4</v>
      </c>
      <c r="Q101">
        <v>7.1174004576659046E-3</v>
      </c>
      <c r="R101">
        <v>11.649999999999999</v>
      </c>
      <c r="S101" s="1">
        <f>F101-E101</f>
        <v>-9.9999999999999645E-2</v>
      </c>
    </row>
    <row r="102" spans="2:19" x14ac:dyDescent="0.3">
      <c r="B102" t="s">
        <v>12</v>
      </c>
      <c r="C102">
        <v>10.49</v>
      </c>
      <c r="D102">
        <v>9.1300000000000008</v>
      </c>
      <c r="E102" s="1">
        <v>11.6</v>
      </c>
      <c r="F102" s="1">
        <v>11.5</v>
      </c>
      <c r="G102" s="2">
        <v>0.28055555555555556</v>
      </c>
      <c r="H102" t="s">
        <v>36</v>
      </c>
      <c r="I102">
        <v>76</v>
      </c>
      <c r="J102">
        <v>3.4</v>
      </c>
      <c r="K102">
        <v>582</v>
      </c>
      <c r="L102">
        <v>5</v>
      </c>
      <c r="M102">
        <v>4.2361111111111099E-2</v>
      </c>
      <c r="N102">
        <v>4.2361111111111099E-2</v>
      </c>
      <c r="O102">
        <v>1.3599999999999994</v>
      </c>
      <c r="P102">
        <v>7.9151999999999966E-4</v>
      </c>
      <c r="Q102">
        <v>5.4956065573770483E-3</v>
      </c>
      <c r="R102">
        <v>11.55</v>
      </c>
      <c r="S102" s="1">
        <f>F102-E102</f>
        <v>-9.9999999999999645E-2</v>
      </c>
    </row>
    <row r="103" spans="2:19" x14ac:dyDescent="0.3">
      <c r="B103" t="s">
        <v>8</v>
      </c>
      <c r="C103">
        <v>7.77</v>
      </c>
      <c r="D103">
        <v>4.92</v>
      </c>
      <c r="E103" s="1">
        <v>23</v>
      </c>
      <c r="F103" s="1">
        <v>22.9</v>
      </c>
      <c r="G103" s="2">
        <v>0.72499999999999998</v>
      </c>
      <c r="H103" t="s">
        <v>35</v>
      </c>
      <c r="I103">
        <v>115</v>
      </c>
      <c r="J103">
        <v>13</v>
      </c>
      <c r="K103">
        <v>1370</v>
      </c>
      <c r="L103">
        <v>6</v>
      </c>
      <c r="M103">
        <v>2.6388888888888906E-2</v>
      </c>
      <c r="N103">
        <v>2.638888888888891E-2</v>
      </c>
      <c r="O103">
        <v>2.8499999999999996</v>
      </c>
      <c r="P103">
        <v>3.9044999999999996E-3</v>
      </c>
      <c r="Q103">
        <v>1.1381538461538452E-2</v>
      </c>
      <c r="R103">
        <v>22.95</v>
      </c>
      <c r="S103" s="1">
        <f>F103-E103</f>
        <v>-0.10000000000000142</v>
      </c>
    </row>
    <row r="104" spans="2:19" x14ac:dyDescent="0.3">
      <c r="B104" t="s">
        <v>15</v>
      </c>
      <c r="C104">
        <v>8.84</v>
      </c>
      <c r="D104">
        <v>7.02</v>
      </c>
      <c r="E104" s="1">
        <v>18.600000000000001</v>
      </c>
      <c r="F104" s="1">
        <v>18.5</v>
      </c>
      <c r="G104" s="2">
        <v>0.85763888888888884</v>
      </c>
      <c r="H104" t="s">
        <v>36</v>
      </c>
      <c r="I104">
        <v>67</v>
      </c>
      <c r="J104">
        <v>2.7</v>
      </c>
      <c r="K104">
        <v>372</v>
      </c>
      <c r="L104">
        <v>2</v>
      </c>
      <c r="M104">
        <v>3.472222222222221E-2</v>
      </c>
      <c r="N104">
        <v>3.472222222222221E-2</v>
      </c>
      <c r="O104">
        <v>1.8200000000000003</v>
      </c>
      <c r="P104">
        <v>6.7704000000000006E-4</v>
      </c>
      <c r="Q104">
        <v>7.2217600000000033E-3</v>
      </c>
      <c r="R104">
        <v>18.55</v>
      </c>
      <c r="S104" s="1">
        <f>F104-E104</f>
        <v>-0.10000000000000142</v>
      </c>
    </row>
    <row r="105" spans="2:19" x14ac:dyDescent="0.3">
      <c r="B105" t="s">
        <v>15</v>
      </c>
      <c r="C105">
        <v>8.4600000000000009</v>
      </c>
      <c r="D105">
        <v>6.56</v>
      </c>
      <c r="E105" s="1">
        <v>14.8</v>
      </c>
      <c r="F105" s="1">
        <v>14.7</v>
      </c>
      <c r="G105" s="2">
        <v>0.22222222222222221</v>
      </c>
      <c r="H105" t="s">
        <v>36</v>
      </c>
      <c r="I105">
        <v>67</v>
      </c>
      <c r="J105">
        <v>2.7</v>
      </c>
      <c r="K105">
        <v>372</v>
      </c>
      <c r="L105">
        <v>3</v>
      </c>
      <c r="M105">
        <v>3.8888888888888862E-2</v>
      </c>
      <c r="N105">
        <v>3.8888888888888862E-2</v>
      </c>
      <c r="O105">
        <v>1.9000000000000012</v>
      </c>
      <c r="P105">
        <v>7.0680000000000038E-4</v>
      </c>
      <c r="Q105">
        <v>6.7314285714285783E-3</v>
      </c>
      <c r="R105">
        <v>14.75</v>
      </c>
      <c r="S105" s="1">
        <f>F105-E105</f>
        <v>-0.10000000000000142</v>
      </c>
    </row>
    <row r="106" spans="2:19" x14ac:dyDescent="0.3">
      <c r="B106" t="s">
        <v>16</v>
      </c>
      <c r="C106">
        <v>8.83</v>
      </c>
      <c r="D106">
        <v>7.58</v>
      </c>
      <c r="E106" s="1">
        <v>14.8</v>
      </c>
      <c r="F106" s="1">
        <v>14.7</v>
      </c>
      <c r="G106" s="2">
        <v>0.22361111111111109</v>
      </c>
      <c r="H106" t="s">
        <v>36</v>
      </c>
      <c r="I106">
        <v>56</v>
      </c>
      <c r="J106">
        <v>1.5</v>
      </c>
      <c r="K106">
        <v>374</v>
      </c>
      <c r="L106">
        <v>3</v>
      </c>
      <c r="M106">
        <v>3.819444444444442E-2</v>
      </c>
      <c r="N106">
        <v>3.819444444444442E-2</v>
      </c>
      <c r="O106">
        <v>1.25</v>
      </c>
      <c r="P106">
        <v>4.6750000000000003E-4</v>
      </c>
      <c r="Q106">
        <v>8.1600000000000058E-3</v>
      </c>
      <c r="R106">
        <v>14.75</v>
      </c>
      <c r="S106" s="1">
        <f>F106-E106</f>
        <v>-0.10000000000000142</v>
      </c>
    </row>
    <row r="107" spans="2:19" x14ac:dyDescent="0.3">
      <c r="B107" t="s">
        <v>19</v>
      </c>
      <c r="C107">
        <v>8.5500000000000007</v>
      </c>
      <c r="D107">
        <v>6.94</v>
      </c>
      <c r="E107" s="1">
        <v>18.8</v>
      </c>
      <c r="F107" s="1">
        <v>18.7</v>
      </c>
      <c r="G107" s="2">
        <v>0.70277777777777783</v>
      </c>
      <c r="H107" t="s">
        <v>36</v>
      </c>
      <c r="I107">
        <v>80</v>
      </c>
      <c r="J107">
        <v>3.7</v>
      </c>
      <c r="K107">
        <v>582</v>
      </c>
      <c r="L107">
        <v>5</v>
      </c>
      <c r="M107">
        <v>3.4027777777777768E-2</v>
      </c>
      <c r="N107">
        <v>3.4027777777777768E-2</v>
      </c>
      <c r="O107">
        <v>1.6100000000000003</v>
      </c>
      <c r="P107">
        <v>9.3702000000000011E-4</v>
      </c>
      <c r="Q107">
        <v>7.4424092664092684E-3</v>
      </c>
      <c r="R107">
        <v>18.75</v>
      </c>
      <c r="S107" s="1">
        <f>F107-E107</f>
        <v>-0.10000000000000142</v>
      </c>
    </row>
    <row r="108" spans="2:19" x14ac:dyDescent="0.3">
      <c r="B108" t="s">
        <v>21</v>
      </c>
      <c r="C108">
        <v>6.78</v>
      </c>
      <c r="D108">
        <v>5.03</v>
      </c>
      <c r="E108" s="1">
        <v>19.5</v>
      </c>
      <c r="F108" s="1">
        <v>19.399999999999999</v>
      </c>
      <c r="G108" s="2">
        <v>0.78611111111111109</v>
      </c>
      <c r="H108" t="s">
        <v>37</v>
      </c>
      <c r="I108">
        <v>163</v>
      </c>
      <c r="J108">
        <v>42.9</v>
      </c>
      <c r="K108">
        <v>3690</v>
      </c>
      <c r="L108">
        <v>7</v>
      </c>
      <c r="M108">
        <v>3.0555555555555558E-2</v>
      </c>
      <c r="N108">
        <v>3.0555555555555555E-2</v>
      </c>
      <c r="O108">
        <v>1.75</v>
      </c>
      <c r="P108">
        <v>6.4574999999999997E-3</v>
      </c>
      <c r="Q108">
        <v>4.9262555626191995E-3</v>
      </c>
      <c r="R108">
        <v>19.45</v>
      </c>
      <c r="S108" s="1">
        <f>F108-E108</f>
        <v>-0.10000000000000142</v>
      </c>
    </row>
    <row r="109" spans="2:19" x14ac:dyDescent="0.3">
      <c r="B109" t="s">
        <v>11</v>
      </c>
      <c r="C109">
        <v>8.43</v>
      </c>
      <c r="D109">
        <v>6.98</v>
      </c>
      <c r="E109" s="1">
        <v>18.3</v>
      </c>
      <c r="F109" s="1">
        <v>18.100000000000001</v>
      </c>
      <c r="G109" s="2">
        <v>0.6958333333333333</v>
      </c>
      <c r="H109" t="s">
        <v>35</v>
      </c>
      <c r="I109">
        <v>114</v>
      </c>
      <c r="J109">
        <v>13.1</v>
      </c>
      <c r="K109">
        <v>2340</v>
      </c>
      <c r="L109">
        <v>5</v>
      </c>
      <c r="M109">
        <v>3.472222222222221E-2</v>
      </c>
      <c r="N109">
        <v>3.472222222222221E-2</v>
      </c>
      <c r="O109">
        <v>1.4499999999999993</v>
      </c>
      <c r="P109">
        <v>3.392999999999998E-3</v>
      </c>
      <c r="Q109">
        <v>7.4594198473282433E-3</v>
      </c>
      <c r="R109">
        <v>18.200000000000003</v>
      </c>
      <c r="S109" s="1">
        <f>F109-E109</f>
        <v>-0.19999999999999929</v>
      </c>
    </row>
    <row r="110" spans="2:19" x14ac:dyDescent="0.3">
      <c r="B110" t="s">
        <v>17</v>
      </c>
      <c r="C110">
        <v>7.98</v>
      </c>
      <c r="D110">
        <v>5.05</v>
      </c>
      <c r="E110" s="1">
        <v>18.899999999999999</v>
      </c>
      <c r="F110" s="1">
        <v>18.7</v>
      </c>
      <c r="G110" s="2">
        <v>0.86111111111111116</v>
      </c>
      <c r="H110" t="s">
        <v>36</v>
      </c>
      <c r="I110">
        <v>83</v>
      </c>
      <c r="J110">
        <v>4.7</v>
      </c>
      <c r="K110">
        <v>384</v>
      </c>
      <c r="L110">
        <v>2</v>
      </c>
      <c r="M110">
        <v>3.4722222222222321E-2</v>
      </c>
      <c r="N110">
        <v>3.4722222222222321E-2</v>
      </c>
      <c r="O110">
        <v>2.9300000000000006</v>
      </c>
      <c r="P110">
        <v>1.1251200000000003E-3</v>
      </c>
      <c r="Q110">
        <v>6.8943523404255136E-3</v>
      </c>
      <c r="R110">
        <v>18.799999999999997</v>
      </c>
      <c r="S110" s="1">
        <f>F110-E110</f>
        <v>-0.19999999999999929</v>
      </c>
    </row>
    <row r="111" spans="2:19" x14ac:dyDescent="0.3">
      <c r="B111" t="s">
        <v>18</v>
      </c>
      <c r="C111">
        <v>8.4</v>
      </c>
      <c r="D111">
        <v>6.71</v>
      </c>
      <c r="E111" s="1">
        <v>18.899999999999999</v>
      </c>
      <c r="F111" s="1">
        <v>18.7</v>
      </c>
      <c r="G111" s="2">
        <v>0.86249999999999993</v>
      </c>
      <c r="H111" t="s">
        <v>36</v>
      </c>
      <c r="I111">
        <v>65</v>
      </c>
      <c r="J111">
        <v>2.2000000000000002</v>
      </c>
      <c r="K111">
        <v>376</v>
      </c>
      <c r="L111">
        <v>2</v>
      </c>
      <c r="M111">
        <v>3.4722222222222099E-2</v>
      </c>
      <c r="N111">
        <v>3.4722222222222099E-2</v>
      </c>
      <c r="O111">
        <v>1.6900000000000004</v>
      </c>
      <c r="P111">
        <v>6.3544000000000014E-4</v>
      </c>
      <c r="Q111">
        <v>8.3184872727273037E-3</v>
      </c>
      <c r="R111">
        <v>18.799999999999997</v>
      </c>
      <c r="S111" s="1">
        <f>F111-E111</f>
        <v>-0.19999999999999929</v>
      </c>
    </row>
    <row r="112" spans="2:19" x14ac:dyDescent="0.3">
      <c r="B112" t="s">
        <v>13</v>
      </c>
      <c r="C112">
        <v>10.28</v>
      </c>
      <c r="D112">
        <v>8.0500000000000007</v>
      </c>
      <c r="E112" s="1">
        <v>11.8</v>
      </c>
      <c r="F112" s="1">
        <v>11.6</v>
      </c>
      <c r="G112" s="2">
        <v>0.21180555555555555</v>
      </c>
      <c r="H112" t="s">
        <v>36</v>
      </c>
      <c r="I112">
        <v>67</v>
      </c>
      <c r="J112">
        <v>2.2000000000000002</v>
      </c>
      <c r="K112">
        <v>406</v>
      </c>
      <c r="L112">
        <v>3</v>
      </c>
      <c r="M112">
        <v>3.819444444444442E-2</v>
      </c>
      <c r="N112">
        <v>3.819444444444442E-2</v>
      </c>
      <c r="O112">
        <v>2.2299999999999986</v>
      </c>
      <c r="P112">
        <v>9.0537999999999947E-4</v>
      </c>
      <c r="Q112">
        <v>1.0774770247933885E-2</v>
      </c>
      <c r="R112">
        <v>11.7</v>
      </c>
      <c r="S112" s="1">
        <f>F112-E112</f>
        <v>-0.20000000000000107</v>
      </c>
    </row>
    <row r="113" spans="2:19" x14ac:dyDescent="0.3">
      <c r="B113" t="s">
        <v>17</v>
      </c>
      <c r="C113">
        <v>7.6</v>
      </c>
      <c r="D113">
        <v>3.79</v>
      </c>
      <c r="E113" s="1">
        <v>14.9</v>
      </c>
      <c r="F113" s="1">
        <v>14.7</v>
      </c>
      <c r="G113" s="2">
        <v>0.22847222222222222</v>
      </c>
      <c r="H113" t="s">
        <v>36</v>
      </c>
      <c r="I113">
        <v>83</v>
      </c>
      <c r="J113">
        <v>4.7</v>
      </c>
      <c r="K113">
        <v>384</v>
      </c>
      <c r="L113">
        <v>3</v>
      </c>
      <c r="M113">
        <v>4.0277777777777773E-2</v>
      </c>
      <c r="N113">
        <v>4.0277777777777773E-2</v>
      </c>
      <c r="O113">
        <v>3.8099999999999996</v>
      </c>
      <c r="P113">
        <v>1.4630399999999999E-3</v>
      </c>
      <c r="Q113">
        <v>7.7284578136463675E-3</v>
      </c>
      <c r="R113">
        <v>14.8</v>
      </c>
      <c r="S113" s="1">
        <f>F113-E113</f>
        <v>-0.20000000000000107</v>
      </c>
    </row>
    <row r="114" spans="2:19" x14ac:dyDescent="0.3">
      <c r="B114" t="s">
        <v>6</v>
      </c>
      <c r="C114">
        <v>7.66</v>
      </c>
      <c r="D114">
        <v>5.17</v>
      </c>
      <c r="E114" s="1">
        <v>20.2</v>
      </c>
      <c r="F114" s="1">
        <v>19.899999999999999</v>
      </c>
      <c r="G114" s="2">
        <v>0.78819444444444453</v>
      </c>
      <c r="H114" t="s">
        <v>35</v>
      </c>
      <c r="I114">
        <v>142</v>
      </c>
      <c r="J114">
        <v>25.3</v>
      </c>
      <c r="K114">
        <v>2340</v>
      </c>
      <c r="L114">
        <v>8</v>
      </c>
      <c r="M114">
        <v>3.0555555555555669E-2</v>
      </c>
      <c r="N114">
        <v>3.0555555555555669E-2</v>
      </c>
      <c r="O114">
        <v>2.4900000000000002</v>
      </c>
      <c r="P114">
        <v>5.8266000000000004E-3</v>
      </c>
      <c r="Q114">
        <v>7.537103844771801E-3</v>
      </c>
      <c r="R114">
        <v>20.049999999999997</v>
      </c>
      <c r="S114" s="1">
        <f>F114-E114</f>
        <v>-0.30000000000000071</v>
      </c>
    </row>
    <row r="115" spans="2:19" x14ac:dyDescent="0.3">
      <c r="B115" t="s">
        <v>7</v>
      </c>
      <c r="C115">
        <v>7.28</v>
      </c>
      <c r="D115">
        <v>5.08</v>
      </c>
      <c r="E115" s="1">
        <v>19.600000000000001</v>
      </c>
      <c r="F115" s="1">
        <v>19.3</v>
      </c>
      <c r="G115" s="2">
        <v>0.79027777777777775</v>
      </c>
      <c r="H115" t="s">
        <v>35</v>
      </c>
      <c r="I115">
        <v>142</v>
      </c>
      <c r="J115">
        <v>26.1</v>
      </c>
      <c r="K115">
        <v>2340</v>
      </c>
      <c r="L115">
        <v>8</v>
      </c>
      <c r="M115">
        <v>3.0555555555555447E-2</v>
      </c>
      <c r="N115">
        <v>3.0555555555555447E-2</v>
      </c>
      <c r="O115">
        <v>2.2000000000000002</v>
      </c>
      <c r="P115">
        <v>5.1479999999999998E-3</v>
      </c>
      <c r="Q115">
        <v>6.455172413793126E-3</v>
      </c>
      <c r="R115">
        <v>19.450000000000003</v>
      </c>
      <c r="S115" s="1">
        <f>F115-E115</f>
        <v>-0.30000000000000071</v>
      </c>
    </row>
    <row r="116" spans="2:19" x14ac:dyDescent="0.3">
      <c r="B116" t="s">
        <v>12</v>
      </c>
      <c r="C116">
        <v>10.199999999999999</v>
      </c>
      <c r="D116">
        <v>8.7100000000000009</v>
      </c>
      <c r="E116" s="1">
        <v>12</v>
      </c>
      <c r="F116" s="1">
        <v>11.7</v>
      </c>
      <c r="G116" s="2">
        <v>0.20972222222222223</v>
      </c>
      <c r="H116" t="s">
        <v>36</v>
      </c>
      <c r="I116">
        <v>76</v>
      </c>
      <c r="J116">
        <v>3.4</v>
      </c>
      <c r="K116">
        <v>582</v>
      </c>
      <c r="L116">
        <v>4</v>
      </c>
      <c r="M116">
        <v>3.8194444444444475E-2</v>
      </c>
      <c r="N116">
        <v>3.8194444444444475E-2</v>
      </c>
      <c r="O116">
        <v>1.4899999999999984</v>
      </c>
      <c r="P116">
        <v>8.6717999999999908E-4</v>
      </c>
      <c r="Q116">
        <v>6.6777497326203092E-3</v>
      </c>
      <c r="R116">
        <v>11.85</v>
      </c>
      <c r="S116" s="1">
        <f>F116-E116</f>
        <v>-0.30000000000000071</v>
      </c>
    </row>
    <row r="117" spans="2:19" x14ac:dyDescent="0.3">
      <c r="B117" t="s">
        <v>15</v>
      </c>
      <c r="C117">
        <v>7.76</v>
      </c>
      <c r="D117">
        <v>6.3</v>
      </c>
      <c r="E117" s="1">
        <v>19.3</v>
      </c>
      <c r="F117" s="1">
        <v>19</v>
      </c>
      <c r="G117" s="2">
        <v>0.76874999999999993</v>
      </c>
      <c r="H117" t="s">
        <v>36</v>
      </c>
      <c r="I117">
        <v>67</v>
      </c>
      <c r="J117">
        <v>2.7</v>
      </c>
      <c r="K117">
        <v>372</v>
      </c>
      <c r="L117">
        <v>1</v>
      </c>
      <c r="M117">
        <v>2.9166666666666563E-2</v>
      </c>
      <c r="N117">
        <v>2.9166666666666563E-2</v>
      </c>
      <c r="O117">
        <v>1.46</v>
      </c>
      <c r="P117">
        <v>5.4311999999999991E-4</v>
      </c>
      <c r="Q117">
        <v>6.8967619047619272E-3</v>
      </c>
      <c r="R117">
        <v>19.149999999999999</v>
      </c>
      <c r="S117" s="1">
        <f>F117-E117</f>
        <v>-0.30000000000000071</v>
      </c>
    </row>
    <row r="118" spans="2:19" x14ac:dyDescent="0.3">
      <c r="B118" t="s">
        <v>16</v>
      </c>
      <c r="C118">
        <v>8.48</v>
      </c>
      <c r="D118">
        <v>7.33</v>
      </c>
      <c r="E118" s="1">
        <v>19.100000000000001</v>
      </c>
      <c r="F118" s="1">
        <v>18.8</v>
      </c>
      <c r="G118" s="2">
        <v>0.77083333333333337</v>
      </c>
      <c r="H118" t="s">
        <v>36</v>
      </c>
      <c r="I118">
        <v>56</v>
      </c>
      <c r="J118">
        <v>1.5</v>
      </c>
      <c r="K118">
        <v>374</v>
      </c>
      <c r="L118">
        <v>1</v>
      </c>
      <c r="M118">
        <v>2.9166666666666674E-2</v>
      </c>
      <c r="N118">
        <v>2.9166666666666678E-2</v>
      </c>
      <c r="O118">
        <v>1.1500000000000004</v>
      </c>
      <c r="P118">
        <v>4.3010000000000015E-4</v>
      </c>
      <c r="Q118">
        <v>9.8308571428571429E-3</v>
      </c>
      <c r="R118">
        <v>18.950000000000003</v>
      </c>
      <c r="S118" s="1">
        <f>F118-E118</f>
        <v>-0.30000000000000071</v>
      </c>
    </row>
    <row r="119" spans="2:19" x14ac:dyDescent="0.3">
      <c r="B119" t="s">
        <v>18</v>
      </c>
      <c r="C119">
        <v>8.43</v>
      </c>
      <c r="D119">
        <v>5.85</v>
      </c>
      <c r="E119" s="1">
        <v>14.9</v>
      </c>
      <c r="F119" s="1">
        <v>14.6</v>
      </c>
      <c r="G119" s="2">
        <v>0.23055555555555554</v>
      </c>
      <c r="H119" t="s">
        <v>36</v>
      </c>
      <c r="I119">
        <v>65</v>
      </c>
      <c r="J119">
        <v>2.2000000000000002</v>
      </c>
      <c r="K119">
        <v>376</v>
      </c>
      <c r="L119">
        <v>3</v>
      </c>
      <c r="M119">
        <v>4.0277777777777773E-2</v>
      </c>
      <c r="N119">
        <v>4.0277777777777773E-2</v>
      </c>
      <c r="O119">
        <v>2.58</v>
      </c>
      <c r="P119">
        <v>9.7008000000000001E-4</v>
      </c>
      <c r="Q119">
        <v>1.0947611285266459E-2</v>
      </c>
      <c r="R119">
        <v>14.75</v>
      </c>
      <c r="S119" s="1">
        <f>F119-E119</f>
        <v>-0.30000000000000071</v>
      </c>
    </row>
    <row r="120" spans="2:19" x14ac:dyDescent="0.3">
      <c r="B120" t="s">
        <v>12</v>
      </c>
      <c r="C120">
        <v>9.26</v>
      </c>
      <c r="D120">
        <v>7.93</v>
      </c>
      <c r="E120" s="1">
        <v>15.8</v>
      </c>
      <c r="F120" s="1">
        <v>15.3</v>
      </c>
      <c r="G120" s="2">
        <v>0.86736111111111114</v>
      </c>
      <c r="H120" t="s">
        <v>36</v>
      </c>
      <c r="I120">
        <v>76</v>
      </c>
      <c r="J120">
        <v>3.4</v>
      </c>
      <c r="K120">
        <v>582</v>
      </c>
      <c r="L120">
        <v>3</v>
      </c>
      <c r="M120">
        <v>2.8472222222222232E-2</v>
      </c>
      <c r="N120">
        <v>2.8472222222222232E-2</v>
      </c>
      <c r="O120">
        <v>1.33</v>
      </c>
      <c r="P120">
        <v>7.7405999999999992E-4</v>
      </c>
      <c r="Q120">
        <v>7.9960286944045882E-3</v>
      </c>
      <c r="R120">
        <v>15.55</v>
      </c>
      <c r="S120" s="1">
        <f>F120-E120</f>
        <v>-0.5</v>
      </c>
    </row>
    <row r="121" spans="2:19" x14ac:dyDescent="0.3">
      <c r="B121" t="s">
        <v>14</v>
      </c>
      <c r="C121">
        <v>9.2799999999999994</v>
      </c>
      <c r="D121">
        <v>7.9</v>
      </c>
      <c r="E121" s="1">
        <v>15.7</v>
      </c>
      <c r="F121" s="1">
        <v>15.2</v>
      </c>
      <c r="G121" s="2">
        <v>0.87013888888888891</v>
      </c>
      <c r="H121" t="s">
        <v>36</v>
      </c>
      <c r="I121">
        <v>66</v>
      </c>
      <c r="J121">
        <v>2.2999999999999998</v>
      </c>
      <c r="K121">
        <v>362</v>
      </c>
      <c r="L121">
        <v>3</v>
      </c>
      <c r="M121">
        <v>2.8472222222222232E-2</v>
      </c>
      <c r="N121">
        <v>2.8472222222222232E-2</v>
      </c>
      <c r="O121">
        <v>1.379999999999999</v>
      </c>
      <c r="P121">
        <v>4.9955999999999959E-4</v>
      </c>
      <c r="Q121">
        <v>7.6284878048780399E-3</v>
      </c>
      <c r="R121">
        <v>15.45</v>
      </c>
      <c r="S121" s="1">
        <f>F121-E121</f>
        <v>-0.5</v>
      </c>
    </row>
    <row r="122" spans="2:19" x14ac:dyDescent="0.3">
      <c r="B122" t="s">
        <v>13</v>
      </c>
      <c r="C122">
        <v>9.8000000000000007</v>
      </c>
      <c r="D122">
        <v>7.07</v>
      </c>
      <c r="E122" s="1">
        <v>13.5</v>
      </c>
      <c r="F122" s="1">
        <v>12.9</v>
      </c>
      <c r="G122" s="2">
        <v>0.36874999999999997</v>
      </c>
      <c r="H122" t="s">
        <v>36</v>
      </c>
      <c r="I122">
        <v>67</v>
      </c>
      <c r="J122">
        <v>2.2000000000000002</v>
      </c>
      <c r="K122">
        <v>406</v>
      </c>
      <c r="L122">
        <v>5</v>
      </c>
      <c r="M122">
        <v>4.3055555555555514E-2</v>
      </c>
      <c r="N122">
        <v>4.3055555555555514E-2</v>
      </c>
      <c r="O122">
        <v>2.7300000000000004</v>
      </c>
      <c r="P122">
        <v>1.1083800000000002E-3</v>
      </c>
      <c r="Q122">
        <v>1.1701372434017608E-2</v>
      </c>
      <c r="R122">
        <v>13.2</v>
      </c>
      <c r="S122" s="1">
        <f>F122-E122</f>
        <v>-0.59999999999999964</v>
      </c>
    </row>
    <row r="123" spans="2:19" x14ac:dyDescent="0.3">
      <c r="B123" t="s">
        <v>14</v>
      </c>
      <c r="C123">
        <v>10.3</v>
      </c>
      <c r="D123">
        <v>8.06</v>
      </c>
      <c r="E123" s="1">
        <v>13.7</v>
      </c>
      <c r="F123" s="1">
        <v>13</v>
      </c>
      <c r="G123" s="2">
        <v>0.37013888888888885</v>
      </c>
      <c r="H123" t="s">
        <v>36</v>
      </c>
      <c r="I123">
        <v>66</v>
      </c>
      <c r="J123">
        <v>2.2999999999999998</v>
      </c>
      <c r="K123">
        <v>362</v>
      </c>
      <c r="L123">
        <v>6</v>
      </c>
      <c r="M123">
        <v>4.2361111111111072E-2</v>
      </c>
      <c r="N123">
        <v>4.2361111111111072E-2</v>
      </c>
      <c r="O123">
        <v>2.2400000000000002</v>
      </c>
      <c r="P123">
        <v>8.1088000000000004E-4</v>
      </c>
      <c r="Q123">
        <v>8.3226457590876782E-3</v>
      </c>
      <c r="R123">
        <v>13.35</v>
      </c>
      <c r="S123" s="1">
        <f>F123-E123</f>
        <v>-0.69999999999999929</v>
      </c>
    </row>
    <row r="124" spans="2:19" x14ac:dyDescent="0.3">
      <c r="B124" t="s">
        <v>13</v>
      </c>
      <c r="C124">
        <v>9.31</v>
      </c>
      <c r="D124">
        <v>7.97</v>
      </c>
      <c r="E124" s="1">
        <v>16.3</v>
      </c>
      <c r="F124" s="1">
        <v>15.4</v>
      </c>
      <c r="G124" s="2">
        <v>0.8354166666666667</v>
      </c>
      <c r="H124" t="s">
        <v>36</v>
      </c>
      <c r="I124">
        <v>67</v>
      </c>
      <c r="J124">
        <v>2.2000000000000002</v>
      </c>
      <c r="K124">
        <v>406</v>
      </c>
      <c r="L124">
        <v>2</v>
      </c>
      <c r="M124">
        <v>2.9166666666666674E-2</v>
      </c>
      <c r="N124">
        <v>2.9166666666666678E-2</v>
      </c>
      <c r="O124">
        <v>1.3400000000000007</v>
      </c>
      <c r="P124">
        <v>5.440400000000003E-4</v>
      </c>
      <c r="Q124">
        <v>8.4785454545454556E-3</v>
      </c>
      <c r="R124">
        <v>15.850000000000001</v>
      </c>
      <c r="S124" s="1">
        <f>F124-E124</f>
        <v>-0.90000000000000036</v>
      </c>
    </row>
    <row r="125" spans="2:19" x14ac:dyDescent="0.3">
      <c r="B125" t="s">
        <v>12</v>
      </c>
      <c r="C125">
        <v>10.48</v>
      </c>
      <c r="D125">
        <v>8.23</v>
      </c>
      <c r="E125" s="1">
        <v>13.95</v>
      </c>
      <c r="F125" s="1">
        <v>12.9</v>
      </c>
      <c r="G125" s="2">
        <v>0.3666666666666667</v>
      </c>
      <c r="H125" t="s">
        <v>36</v>
      </c>
      <c r="I125">
        <v>76</v>
      </c>
      <c r="J125">
        <v>3.4</v>
      </c>
      <c r="K125">
        <v>582</v>
      </c>
      <c r="L125">
        <v>6</v>
      </c>
      <c r="M125">
        <v>4.3055555555555569E-2</v>
      </c>
      <c r="N125">
        <v>4.3055555555555569E-2</v>
      </c>
      <c r="O125">
        <v>2.25</v>
      </c>
      <c r="P125">
        <v>1.3094999999999999E-3</v>
      </c>
      <c r="Q125">
        <v>8.9453510436432598E-3</v>
      </c>
      <c r="R125">
        <v>13.425000000000001</v>
      </c>
      <c r="S125" s="1">
        <f>F125-E125</f>
        <v>-1.0499999999999989</v>
      </c>
    </row>
    <row r="126" spans="2:19" x14ac:dyDescent="0.3">
      <c r="B126" t="s">
        <v>14</v>
      </c>
      <c r="C126">
        <v>8.99</v>
      </c>
      <c r="D126">
        <v>7.9</v>
      </c>
      <c r="E126" s="1">
        <v>17.3</v>
      </c>
      <c r="F126" s="1">
        <v>16.2</v>
      </c>
      <c r="G126" s="2">
        <v>0.79999999999999993</v>
      </c>
      <c r="H126" t="s">
        <v>36</v>
      </c>
      <c r="I126">
        <v>66</v>
      </c>
      <c r="J126">
        <v>2.2999999999999998</v>
      </c>
      <c r="K126">
        <v>362</v>
      </c>
      <c r="L126">
        <v>2</v>
      </c>
      <c r="M126">
        <v>2.8472222222222232E-2</v>
      </c>
      <c r="N126">
        <v>2.8472222222222232E-2</v>
      </c>
      <c r="O126">
        <v>1.0899999999999999</v>
      </c>
      <c r="P126">
        <v>3.9457999999999995E-4</v>
      </c>
      <c r="Q126">
        <v>6.0253997879109204E-3</v>
      </c>
      <c r="R126">
        <v>16.75</v>
      </c>
      <c r="S126" s="1">
        <f>F126-E126</f>
        <v>-1.1000000000000014</v>
      </c>
    </row>
    <row r="127" spans="2:19" x14ac:dyDescent="0.3">
      <c r="B127" t="s">
        <v>12</v>
      </c>
      <c r="C127">
        <v>8.68</v>
      </c>
      <c r="D127">
        <v>7.52</v>
      </c>
      <c r="E127" s="1">
        <v>17.600000000000001</v>
      </c>
      <c r="F127" s="1">
        <v>16.5</v>
      </c>
      <c r="G127" s="2">
        <v>0.80208333333333337</v>
      </c>
      <c r="H127" t="s">
        <v>36</v>
      </c>
      <c r="I127">
        <v>76</v>
      </c>
      <c r="J127">
        <v>3.4</v>
      </c>
      <c r="K127">
        <v>582</v>
      </c>
      <c r="L127">
        <v>2</v>
      </c>
      <c r="M127">
        <v>2.7777777777777901E-2</v>
      </c>
      <c r="N127">
        <v>2.7777777777777901E-2</v>
      </c>
      <c r="O127">
        <v>1.1600000000000001</v>
      </c>
      <c r="P127">
        <v>6.7512000000000008E-4</v>
      </c>
      <c r="Q127">
        <v>7.1483294117646754E-3</v>
      </c>
      <c r="R127">
        <v>17.05</v>
      </c>
      <c r="S127" s="1">
        <f>F127-E127</f>
        <v>-1.1000000000000014</v>
      </c>
    </row>
  </sheetData>
  <sortState xmlns:xlrd2="http://schemas.microsoft.com/office/spreadsheetml/2017/richdata2" ref="B2:S127">
    <sortCondition descending="1" ref="S1:S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Fischer</dc:creator>
  <cp:lastModifiedBy>Luke Fischer</cp:lastModifiedBy>
  <dcterms:created xsi:type="dcterms:W3CDTF">2024-04-24T14:05:26Z</dcterms:created>
  <dcterms:modified xsi:type="dcterms:W3CDTF">2026-05-18T18:20:47Z</dcterms:modified>
</cp:coreProperties>
</file>