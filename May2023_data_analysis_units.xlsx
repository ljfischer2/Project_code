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eref\Documents\Project stuff\LucasProject\Repo_Backup\Project_code\"/>
    </mc:Choice>
  </mc:AlternateContent>
  <xr:revisionPtr revIDLastSave="0" documentId="13_ncr:1_{B6B3A699-4ECC-4C07-8931-B6CAFC047A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_data" sheetId="1" r:id="rId1"/>
    <sheet name="Fish_Container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7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2" i="1"/>
  <c r="AM4" i="1"/>
  <c r="AN4" i="1" s="1"/>
  <c r="AO4" i="1" s="1"/>
  <c r="AP4" i="1" s="1"/>
  <c r="AM5" i="1"/>
  <c r="AN5" i="1"/>
  <c r="AO5" i="1" s="1"/>
  <c r="AP5" i="1" s="1"/>
  <c r="AM6" i="1"/>
  <c r="AN6" i="1" s="1"/>
  <c r="AO6" i="1" s="1"/>
  <c r="AP6" i="1" s="1"/>
  <c r="AM7" i="1"/>
  <c r="AN7" i="1" s="1"/>
  <c r="AO7" i="1" s="1"/>
  <c r="AP7" i="1" s="1"/>
  <c r="AM8" i="1"/>
  <c r="AN8" i="1" s="1"/>
  <c r="AO8" i="1" s="1"/>
  <c r="AP8" i="1" s="1"/>
  <c r="AM9" i="1"/>
  <c r="AN9" i="1" s="1"/>
  <c r="AO9" i="1" s="1"/>
  <c r="AP9" i="1" s="1"/>
  <c r="AM10" i="1"/>
  <c r="AN10" i="1" s="1"/>
  <c r="AO10" i="1" s="1"/>
  <c r="AP10" i="1" s="1"/>
  <c r="AM11" i="1"/>
  <c r="AN11" i="1" s="1"/>
  <c r="AO11" i="1" s="1"/>
  <c r="AP11" i="1" s="1"/>
  <c r="AM12" i="1"/>
  <c r="AN12" i="1" s="1"/>
  <c r="AO12" i="1" s="1"/>
  <c r="AP12" i="1" s="1"/>
  <c r="AM13" i="1"/>
  <c r="AN13" i="1" s="1"/>
  <c r="AO13" i="1" s="1"/>
  <c r="AP13" i="1" s="1"/>
  <c r="AM14" i="1"/>
  <c r="AN14" i="1" s="1"/>
  <c r="AO14" i="1" s="1"/>
  <c r="AP14" i="1" s="1"/>
  <c r="AM15" i="1"/>
  <c r="AN15" i="1" s="1"/>
  <c r="AO15" i="1" s="1"/>
  <c r="AP15" i="1" s="1"/>
  <c r="AM16" i="1"/>
  <c r="AN16" i="1" s="1"/>
  <c r="AO16" i="1" s="1"/>
  <c r="AP16" i="1" s="1"/>
  <c r="AM17" i="1"/>
  <c r="AN17" i="1" s="1"/>
  <c r="AO17" i="1" s="1"/>
  <c r="AP17" i="1" s="1"/>
  <c r="AM18" i="1"/>
  <c r="AN18" i="1" s="1"/>
  <c r="AO18" i="1" s="1"/>
  <c r="AP18" i="1" s="1"/>
  <c r="AM19" i="1"/>
  <c r="AN19" i="1" s="1"/>
  <c r="AO19" i="1" s="1"/>
  <c r="AP19" i="1" s="1"/>
  <c r="AM20" i="1"/>
  <c r="AN20" i="1" s="1"/>
  <c r="AO20" i="1" s="1"/>
  <c r="AP20" i="1" s="1"/>
  <c r="AM21" i="1"/>
  <c r="AN21" i="1" s="1"/>
  <c r="AO21" i="1" s="1"/>
  <c r="AP21" i="1" s="1"/>
  <c r="AM22" i="1"/>
  <c r="AN22" i="1" s="1"/>
  <c r="AO22" i="1" s="1"/>
  <c r="AP22" i="1" s="1"/>
  <c r="AM23" i="1"/>
  <c r="AN23" i="1"/>
  <c r="AO23" i="1" s="1"/>
  <c r="AP23" i="1" s="1"/>
  <c r="AM24" i="1"/>
  <c r="AN24" i="1" s="1"/>
  <c r="AO24" i="1" s="1"/>
  <c r="AP24" i="1" s="1"/>
  <c r="AM25" i="1"/>
  <c r="AN25" i="1" s="1"/>
  <c r="AO25" i="1" s="1"/>
  <c r="AP25" i="1" s="1"/>
  <c r="AM26" i="1"/>
  <c r="AN26" i="1"/>
  <c r="AO26" i="1" s="1"/>
  <c r="AP26" i="1" s="1"/>
  <c r="AM27" i="1"/>
  <c r="AN27" i="1" s="1"/>
  <c r="AO27" i="1" s="1"/>
  <c r="AP27" i="1" s="1"/>
  <c r="AM28" i="1"/>
  <c r="AN28" i="1" s="1"/>
  <c r="AO28" i="1" s="1"/>
  <c r="AP28" i="1" s="1"/>
  <c r="AM29" i="1"/>
  <c r="AN29" i="1" s="1"/>
  <c r="AO29" i="1" s="1"/>
  <c r="AP29" i="1" s="1"/>
  <c r="AM30" i="1"/>
  <c r="AN30" i="1" s="1"/>
  <c r="AO30" i="1" s="1"/>
  <c r="AP30" i="1" s="1"/>
  <c r="AM31" i="1"/>
  <c r="AN31" i="1" s="1"/>
  <c r="AO31" i="1" s="1"/>
  <c r="AP31" i="1" s="1"/>
  <c r="AM32" i="1"/>
  <c r="AN32" i="1" s="1"/>
  <c r="AO32" i="1" s="1"/>
  <c r="AP32" i="1" s="1"/>
  <c r="AM33" i="1"/>
  <c r="AN33" i="1" s="1"/>
  <c r="AO33" i="1" s="1"/>
  <c r="AP33" i="1" s="1"/>
  <c r="AM34" i="1"/>
  <c r="AN34" i="1" s="1"/>
  <c r="AO34" i="1" s="1"/>
  <c r="AP34" i="1" s="1"/>
  <c r="AM35" i="1"/>
  <c r="AN35" i="1" s="1"/>
  <c r="AO35" i="1" s="1"/>
  <c r="AP35" i="1" s="1"/>
  <c r="AM36" i="1"/>
  <c r="AN36" i="1" s="1"/>
  <c r="AO36" i="1" s="1"/>
  <c r="AP36" i="1" s="1"/>
  <c r="AM37" i="1"/>
  <c r="AN37" i="1" s="1"/>
  <c r="AO37" i="1" s="1"/>
  <c r="AP37" i="1" s="1"/>
  <c r="AM38" i="1"/>
  <c r="AN38" i="1" s="1"/>
  <c r="AO38" i="1" s="1"/>
  <c r="AP38" i="1" s="1"/>
  <c r="AM39" i="1"/>
  <c r="AN39" i="1" s="1"/>
  <c r="AO39" i="1" s="1"/>
  <c r="AP39" i="1" s="1"/>
  <c r="AM40" i="1"/>
  <c r="AN40" i="1" s="1"/>
  <c r="AO40" i="1" s="1"/>
  <c r="AP40" i="1" s="1"/>
  <c r="AM41" i="1"/>
  <c r="AN41" i="1" s="1"/>
  <c r="AO41" i="1" s="1"/>
  <c r="AP41" i="1" s="1"/>
  <c r="AM42" i="1"/>
  <c r="AN42" i="1" s="1"/>
  <c r="AO42" i="1" s="1"/>
  <c r="AP42" i="1" s="1"/>
  <c r="AM43" i="1"/>
  <c r="AN43" i="1" s="1"/>
  <c r="AO43" i="1" s="1"/>
  <c r="AP43" i="1" s="1"/>
  <c r="AM44" i="1"/>
  <c r="AN44" i="1"/>
  <c r="AO44" i="1" s="1"/>
  <c r="AP44" i="1" s="1"/>
  <c r="AM45" i="1"/>
  <c r="AN45" i="1" s="1"/>
  <c r="AO45" i="1" s="1"/>
  <c r="AP45" i="1" s="1"/>
  <c r="AM46" i="1"/>
  <c r="AN46" i="1" s="1"/>
  <c r="AO46" i="1" s="1"/>
  <c r="AP46" i="1" s="1"/>
  <c r="AM47" i="1"/>
  <c r="AN47" i="1" s="1"/>
  <c r="AO47" i="1" s="1"/>
  <c r="AP47" i="1" s="1"/>
  <c r="AM48" i="1"/>
  <c r="AN48" i="1" s="1"/>
  <c r="AO48" i="1" s="1"/>
  <c r="AP48" i="1" s="1"/>
  <c r="AM49" i="1"/>
  <c r="AN49" i="1" s="1"/>
  <c r="AO49" i="1" s="1"/>
  <c r="AP49" i="1" s="1"/>
  <c r="AM50" i="1"/>
  <c r="AN50" i="1" s="1"/>
  <c r="AO50" i="1" s="1"/>
  <c r="AP50" i="1" s="1"/>
  <c r="AM51" i="1"/>
  <c r="AN51" i="1" s="1"/>
  <c r="AO51" i="1" s="1"/>
  <c r="AP51" i="1" s="1"/>
  <c r="AM52" i="1"/>
  <c r="AN52" i="1" s="1"/>
  <c r="AO52" i="1" s="1"/>
  <c r="AP52" i="1" s="1"/>
  <c r="AM53" i="1"/>
  <c r="AN53" i="1" s="1"/>
  <c r="AO53" i="1" s="1"/>
  <c r="AP53" i="1" s="1"/>
  <c r="AM54" i="1"/>
  <c r="AN54" i="1" s="1"/>
  <c r="AO54" i="1" s="1"/>
  <c r="AP54" i="1" s="1"/>
  <c r="AM55" i="1"/>
  <c r="AN55" i="1" s="1"/>
  <c r="AO55" i="1" s="1"/>
  <c r="AP55" i="1" s="1"/>
  <c r="AM56" i="1"/>
  <c r="AN56" i="1" s="1"/>
  <c r="AO56" i="1" s="1"/>
  <c r="AP56" i="1" s="1"/>
  <c r="AM57" i="1"/>
  <c r="AN57" i="1" s="1"/>
  <c r="AO57" i="1" s="1"/>
  <c r="AP57" i="1" s="1"/>
  <c r="AM58" i="1"/>
  <c r="AN58" i="1" s="1"/>
  <c r="AO58" i="1" s="1"/>
  <c r="AP58" i="1" s="1"/>
  <c r="AM59" i="1"/>
  <c r="AN59" i="1" s="1"/>
  <c r="AO59" i="1" s="1"/>
  <c r="AP59" i="1" s="1"/>
  <c r="AM60" i="1"/>
  <c r="AN60" i="1" s="1"/>
  <c r="AO60" i="1" s="1"/>
  <c r="AP60" i="1" s="1"/>
  <c r="AM61" i="1"/>
  <c r="AN61" i="1" s="1"/>
  <c r="AO61" i="1" s="1"/>
  <c r="AP61" i="1" s="1"/>
  <c r="AM62" i="1"/>
  <c r="AN62" i="1" s="1"/>
  <c r="AO62" i="1" s="1"/>
  <c r="AP62" i="1" s="1"/>
  <c r="AM63" i="1"/>
  <c r="AN63" i="1" s="1"/>
  <c r="AO63" i="1" s="1"/>
  <c r="AP63" i="1" s="1"/>
  <c r="AM64" i="1"/>
  <c r="AN64" i="1" s="1"/>
  <c r="AO64" i="1" s="1"/>
  <c r="AP64" i="1" s="1"/>
  <c r="AM65" i="1"/>
  <c r="AN65" i="1" s="1"/>
  <c r="AO65" i="1" s="1"/>
  <c r="AP65" i="1" s="1"/>
  <c r="AM66" i="1"/>
  <c r="AN66" i="1" s="1"/>
  <c r="AO66" i="1" s="1"/>
  <c r="AP66" i="1" s="1"/>
  <c r="AM67" i="1"/>
  <c r="AN67" i="1" s="1"/>
  <c r="AO67" i="1" s="1"/>
  <c r="AP67" i="1" s="1"/>
  <c r="AM68" i="1"/>
  <c r="AN68" i="1"/>
  <c r="AO68" i="1" s="1"/>
  <c r="AP68" i="1" s="1"/>
  <c r="AM69" i="1"/>
  <c r="AN69" i="1" s="1"/>
  <c r="AO69" i="1" s="1"/>
  <c r="AP69" i="1" s="1"/>
  <c r="AM70" i="1"/>
  <c r="AN70" i="1" s="1"/>
  <c r="AO70" i="1" s="1"/>
  <c r="AP70" i="1" s="1"/>
  <c r="AM71" i="1"/>
  <c r="AN71" i="1" s="1"/>
  <c r="AO71" i="1" s="1"/>
  <c r="AP71" i="1" s="1"/>
  <c r="AM72" i="1"/>
  <c r="AN72" i="1" s="1"/>
  <c r="AO72" i="1" s="1"/>
  <c r="AP72" i="1" s="1"/>
  <c r="AM73" i="1"/>
  <c r="AN73" i="1" s="1"/>
  <c r="AO73" i="1" s="1"/>
  <c r="AP73" i="1" s="1"/>
  <c r="AM74" i="1"/>
  <c r="AN74" i="1" s="1"/>
  <c r="AO74" i="1" s="1"/>
  <c r="AP74" i="1" s="1"/>
  <c r="AM75" i="1"/>
  <c r="AN75" i="1" s="1"/>
  <c r="AO75" i="1" s="1"/>
  <c r="AP75" i="1" s="1"/>
  <c r="AM76" i="1"/>
  <c r="AN76" i="1" s="1"/>
  <c r="AO76" i="1" s="1"/>
  <c r="AP76" i="1" s="1"/>
  <c r="AM77" i="1"/>
  <c r="AN77" i="1" s="1"/>
  <c r="AO77" i="1" s="1"/>
  <c r="AP77" i="1" s="1"/>
  <c r="AM78" i="1"/>
  <c r="AN78" i="1" s="1"/>
  <c r="AO78" i="1" s="1"/>
  <c r="AP78" i="1" s="1"/>
  <c r="AM79" i="1"/>
  <c r="AN79" i="1"/>
  <c r="AO79" i="1" s="1"/>
  <c r="AP79" i="1" s="1"/>
  <c r="AM80" i="1"/>
  <c r="AN80" i="1" s="1"/>
  <c r="AO80" i="1" s="1"/>
  <c r="AP80" i="1" s="1"/>
  <c r="AM81" i="1"/>
  <c r="AN81" i="1" s="1"/>
  <c r="AO81" i="1" s="1"/>
  <c r="AP81" i="1" s="1"/>
  <c r="AM82" i="1"/>
  <c r="AN82" i="1" s="1"/>
  <c r="AO82" i="1" s="1"/>
  <c r="AP82" i="1" s="1"/>
  <c r="AM83" i="1"/>
  <c r="AN83" i="1"/>
  <c r="AO83" i="1" s="1"/>
  <c r="AP83" i="1" s="1"/>
  <c r="AM84" i="1"/>
  <c r="AN84" i="1" s="1"/>
  <c r="AO84" i="1" s="1"/>
  <c r="AP84" i="1" s="1"/>
  <c r="AM85" i="1"/>
  <c r="AN85" i="1" s="1"/>
  <c r="AO85" i="1" s="1"/>
  <c r="AP85" i="1" s="1"/>
  <c r="AM86" i="1"/>
  <c r="AN86" i="1" s="1"/>
  <c r="AO86" i="1" s="1"/>
  <c r="AP86" i="1" s="1"/>
  <c r="AM87" i="1"/>
  <c r="AN87" i="1" s="1"/>
  <c r="AO87" i="1" s="1"/>
  <c r="AP87" i="1" s="1"/>
  <c r="AM88" i="1"/>
  <c r="AN88" i="1" s="1"/>
  <c r="AO88" i="1" s="1"/>
  <c r="AP88" i="1" s="1"/>
  <c r="AM89" i="1"/>
  <c r="AN89" i="1" s="1"/>
  <c r="AO89" i="1" s="1"/>
  <c r="AP89" i="1" s="1"/>
  <c r="AM90" i="1"/>
  <c r="AN90" i="1" s="1"/>
  <c r="AO90" i="1" s="1"/>
  <c r="AP90" i="1" s="1"/>
  <c r="AM91" i="1"/>
  <c r="AN91" i="1" s="1"/>
  <c r="AO91" i="1" s="1"/>
  <c r="AP91" i="1" s="1"/>
  <c r="AM92" i="1"/>
  <c r="AN92" i="1" s="1"/>
  <c r="AO92" i="1" s="1"/>
  <c r="AP92" i="1" s="1"/>
  <c r="AM93" i="1"/>
  <c r="AN93" i="1" s="1"/>
  <c r="AO93" i="1" s="1"/>
  <c r="AP93" i="1" s="1"/>
  <c r="AM94" i="1"/>
  <c r="AN94" i="1" s="1"/>
  <c r="AO94" i="1" s="1"/>
  <c r="AP94" i="1" s="1"/>
  <c r="AM95" i="1"/>
  <c r="AN95" i="1" s="1"/>
  <c r="AO95" i="1" s="1"/>
  <c r="AP95" i="1" s="1"/>
  <c r="AM96" i="1"/>
  <c r="AN96" i="1" s="1"/>
  <c r="AO96" i="1" s="1"/>
  <c r="AP96" i="1" s="1"/>
  <c r="AM97" i="1"/>
  <c r="AN97" i="1" s="1"/>
  <c r="AO97" i="1" s="1"/>
  <c r="AP97" i="1" s="1"/>
  <c r="AM98" i="1"/>
  <c r="AN98" i="1" s="1"/>
  <c r="AO98" i="1" s="1"/>
  <c r="AP98" i="1" s="1"/>
  <c r="AM99" i="1"/>
  <c r="AN99" i="1" s="1"/>
  <c r="AO99" i="1" s="1"/>
  <c r="AP99" i="1" s="1"/>
  <c r="AM100" i="1"/>
  <c r="AN100" i="1" s="1"/>
  <c r="AO100" i="1" s="1"/>
  <c r="AP100" i="1" s="1"/>
  <c r="AM101" i="1"/>
  <c r="AN101" i="1" s="1"/>
  <c r="AO101" i="1" s="1"/>
  <c r="AP101" i="1" s="1"/>
  <c r="AM102" i="1"/>
  <c r="AN102" i="1" s="1"/>
  <c r="AO102" i="1" s="1"/>
  <c r="AP102" i="1" s="1"/>
  <c r="AM103" i="1"/>
  <c r="AN103" i="1" s="1"/>
  <c r="AO103" i="1" s="1"/>
  <c r="AP103" i="1" s="1"/>
  <c r="AM104" i="1"/>
  <c r="AN104" i="1"/>
  <c r="AO104" i="1" s="1"/>
  <c r="AP104" i="1" s="1"/>
  <c r="AM105" i="1"/>
  <c r="AN105" i="1" s="1"/>
  <c r="AO105" i="1" s="1"/>
  <c r="AP105" i="1" s="1"/>
  <c r="AM106" i="1"/>
  <c r="AN106" i="1" s="1"/>
  <c r="AO106" i="1" s="1"/>
  <c r="AP106" i="1" s="1"/>
  <c r="AM107" i="1"/>
  <c r="AN107" i="1" s="1"/>
  <c r="AO107" i="1" s="1"/>
  <c r="AP107" i="1" s="1"/>
  <c r="AM108" i="1"/>
  <c r="AN108" i="1" s="1"/>
  <c r="AO108" i="1" s="1"/>
  <c r="AP108" i="1" s="1"/>
  <c r="AM109" i="1"/>
  <c r="AN109" i="1" s="1"/>
  <c r="AO109" i="1" s="1"/>
  <c r="AP109" i="1" s="1"/>
  <c r="AM110" i="1"/>
  <c r="AN110" i="1" s="1"/>
  <c r="AO110" i="1" s="1"/>
  <c r="AP110" i="1" s="1"/>
  <c r="AM111" i="1"/>
  <c r="AN111" i="1" s="1"/>
  <c r="AO111" i="1" s="1"/>
  <c r="AP111" i="1" s="1"/>
  <c r="AM112" i="1"/>
  <c r="AN112" i="1" s="1"/>
  <c r="AO112" i="1" s="1"/>
  <c r="AP112" i="1" s="1"/>
  <c r="AM3" i="1"/>
  <c r="AN3" i="1" s="1"/>
  <c r="AO3" i="1" s="1"/>
  <c r="AP3" i="1" s="1"/>
  <c r="AI3" i="1"/>
  <c r="AJ3" i="1" s="1"/>
  <c r="AK3" i="1" s="1"/>
  <c r="AL3" i="1" s="1"/>
  <c r="U41" i="1"/>
  <c r="R42" i="1"/>
  <c r="U42" i="1"/>
  <c r="R43" i="1"/>
  <c r="U43" i="1"/>
  <c r="R44" i="1"/>
  <c r="U44" i="1"/>
  <c r="R45" i="1"/>
  <c r="U45" i="1"/>
  <c r="R46" i="1"/>
  <c r="U46" i="1"/>
  <c r="R47" i="1"/>
  <c r="U47" i="1"/>
  <c r="R48" i="1"/>
  <c r="U48" i="1"/>
  <c r="R49" i="1"/>
  <c r="U49" i="1"/>
  <c r="R50" i="1"/>
  <c r="U50" i="1"/>
  <c r="R51" i="1"/>
  <c r="U51" i="1"/>
  <c r="R52" i="1"/>
  <c r="U52" i="1"/>
  <c r="R53" i="1"/>
  <c r="U53" i="1"/>
  <c r="R54" i="1"/>
  <c r="U54" i="1"/>
  <c r="R55" i="1"/>
  <c r="U55" i="1"/>
  <c r="R56" i="1"/>
  <c r="U56" i="1"/>
  <c r="R57" i="1"/>
  <c r="U57" i="1"/>
  <c r="R58" i="1"/>
  <c r="U58" i="1"/>
  <c r="R59" i="1"/>
  <c r="U59" i="1"/>
  <c r="R60" i="1"/>
  <c r="U60" i="1"/>
  <c r="R61" i="1"/>
  <c r="U61" i="1"/>
  <c r="R62" i="1"/>
  <c r="U62" i="1"/>
  <c r="R63" i="1"/>
  <c r="U63" i="1"/>
  <c r="R64" i="1"/>
  <c r="U64" i="1"/>
  <c r="R65" i="1"/>
  <c r="U65" i="1"/>
  <c r="R66" i="1"/>
  <c r="U66" i="1"/>
  <c r="R67" i="1"/>
  <c r="U67" i="1"/>
  <c r="R68" i="1"/>
  <c r="U68" i="1"/>
  <c r="R69" i="1"/>
  <c r="U69" i="1"/>
  <c r="R2" i="1"/>
  <c r="U2" i="1"/>
  <c r="R3" i="1"/>
  <c r="U3" i="1"/>
  <c r="R112" i="1"/>
  <c r="U112" i="1"/>
  <c r="R4" i="1"/>
  <c r="U4" i="1"/>
  <c r="R5" i="1"/>
  <c r="U5" i="1"/>
  <c r="R113" i="1"/>
  <c r="U113" i="1"/>
  <c r="R6" i="1"/>
  <c r="U6" i="1"/>
  <c r="R7" i="1"/>
  <c r="U7" i="1"/>
  <c r="R114" i="1"/>
  <c r="U114" i="1"/>
  <c r="R8" i="1"/>
  <c r="U8" i="1"/>
  <c r="R9" i="1"/>
  <c r="U9" i="1"/>
  <c r="R115" i="1"/>
  <c r="U115" i="1"/>
  <c r="R10" i="1"/>
  <c r="U10" i="1"/>
  <c r="R11" i="1"/>
  <c r="U11" i="1"/>
  <c r="R116" i="1"/>
  <c r="U116" i="1"/>
  <c r="R12" i="1"/>
  <c r="U12" i="1"/>
  <c r="R13" i="1"/>
  <c r="U13" i="1"/>
  <c r="R14" i="1"/>
  <c r="U14" i="1"/>
  <c r="R117" i="1"/>
  <c r="U117" i="1"/>
  <c r="R15" i="1"/>
  <c r="U15" i="1"/>
  <c r="R118" i="1"/>
  <c r="U118" i="1"/>
  <c r="R16" i="1"/>
  <c r="U16" i="1"/>
  <c r="R17" i="1"/>
  <c r="U17" i="1"/>
  <c r="R70" i="1"/>
  <c r="U70" i="1"/>
  <c r="R71" i="1"/>
  <c r="U71" i="1"/>
  <c r="R72" i="1"/>
  <c r="U72" i="1"/>
  <c r="R73" i="1"/>
  <c r="U73" i="1"/>
  <c r="R74" i="1"/>
  <c r="U74" i="1"/>
  <c r="R75" i="1"/>
  <c r="U75" i="1"/>
  <c r="R76" i="1"/>
  <c r="U76" i="1"/>
  <c r="R77" i="1"/>
  <c r="U77" i="1"/>
  <c r="R78" i="1"/>
  <c r="U78" i="1"/>
  <c r="R79" i="1"/>
  <c r="U79" i="1"/>
  <c r="R80" i="1"/>
  <c r="U80" i="1"/>
  <c r="R81" i="1"/>
  <c r="U81" i="1"/>
  <c r="R82" i="1"/>
  <c r="U82" i="1"/>
  <c r="R83" i="1"/>
  <c r="U83" i="1"/>
  <c r="R84" i="1"/>
  <c r="U84" i="1"/>
  <c r="R85" i="1"/>
  <c r="U85" i="1"/>
  <c r="R86" i="1"/>
  <c r="U86" i="1"/>
  <c r="R87" i="1"/>
  <c r="U87" i="1"/>
  <c r="R88" i="1"/>
  <c r="U88" i="1"/>
  <c r="R89" i="1"/>
  <c r="U89" i="1"/>
  <c r="R90" i="1"/>
  <c r="U90" i="1"/>
  <c r="R91" i="1"/>
  <c r="U91" i="1"/>
  <c r="R92" i="1"/>
  <c r="U92" i="1"/>
  <c r="R93" i="1"/>
  <c r="U93" i="1"/>
  <c r="R94" i="1"/>
  <c r="U94" i="1"/>
  <c r="R95" i="1"/>
  <c r="U95" i="1"/>
  <c r="R96" i="1"/>
  <c r="U96" i="1"/>
  <c r="R97" i="1"/>
  <c r="U97" i="1"/>
  <c r="R98" i="1"/>
  <c r="U98" i="1"/>
  <c r="R99" i="1"/>
  <c r="U99" i="1"/>
  <c r="R100" i="1"/>
  <c r="U100" i="1"/>
  <c r="R101" i="1"/>
  <c r="U101" i="1"/>
  <c r="R102" i="1"/>
  <c r="U102" i="1"/>
  <c r="R103" i="1"/>
  <c r="U103" i="1"/>
  <c r="R104" i="1"/>
  <c r="U104" i="1"/>
  <c r="R105" i="1"/>
  <c r="U105" i="1"/>
  <c r="R106" i="1"/>
  <c r="U106" i="1"/>
  <c r="R107" i="1"/>
  <c r="U107" i="1"/>
  <c r="R108" i="1"/>
  <c r="U108" i="1"/>
  <c r="R109" i="1"/>
  <c r="U109" i="1"/>
  <c r="R110" i="1"/>
  <c r="U110" i="1"/>
  <c r="R111" i="1"/>
  <c r="U111" i="1"/>
  <c r="R18" i="1"/>
  <c r="U18" i="1"/>
  <c r="R19" i="1"/>
  <c r="U19" i="1"/>
  <c r="R20" i="1"/>
  <c r="U20" i="1"/>
  <c r="R21" i="1"/>
  <c r="U21" i="1"/>
  <c r="R22" i="1"/>
  <c r="U22" i="1"/>
  <c r="R23" i="1"/>
  <c r="U23" i="1"/>
  <c r="R24" i="1"/>
  <c r="U24" i="1"/>
  <c r="R25" i="1"/>
  <c r="U25" i="1"/>
  <c r="R26" i="1"/>
  <c r="U26" i="1"/>
  <c r="R27" i="1"/>
  <c r="U27" i="1"/>
  <c r="R28" i="1"/>
  <c r="U28" i="1"/>
  <c r="R29" i="1"/>
  <c r="U29" i="1"/>
  <c r="R30" i="1"/>
  <c r="U30" i="1"/>
  <c r="R31" i="1"/>
  <c r="U31" i="1"/>
  <c r="R32" i="1"/>
  <c r="U32" i="1"/>
  <c r="R33" i="1"/>
  <c r="U33" i="1"/>
  <c r="R34" i="1"/>
  <c r="U34" i="1"/>
  <c r="R35" i="1"/>
  <c r="U35" i="1"/>
  <c r="R36" i="1"/>
  <c r="U36" i="1"/>
  <c r="R119" i="1"/>
  <c r="U119" i="1"/>
  <c r="R120" i="1"/>
  <c r="U120" i="1"/>
  <c r="R37" i="1"/>
  <c r="U37" i="1"/>
  <c r="R121" i="1"/>
  <c r="U121" i="1"/>
  <c r="R122" i="1"/>
  <c r="U122" i="1"/>
  <c r="R38" i="1"/>
  <c r="U38" i="1"/>
  <c r="R123" i="1"/>
  <c r="U123" i="1"/>
  <c r="R124" i="1"/>
  <c r="U124" i="1"/>
  <c r="R39" i="1"/>
  <c r="U39" i="1"/>
  <c r="R125" i="1"/>
  <c r="U125" i="1"/>
  <c r="R40" i="1"/>
  <c r="U40" i="1"/>
  <c r="R126" i="1"/>
  <c r="U126" i="1"/>
  <c r="R127" i="1"/>
  <c r="U127" i="1"/>
  <c r="R41" i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/>
  <c r="O66" i="1"/>
  <c r="P66" i="1" s="1"/>
  <c r="O67" i="1"/>
  <c r="P67" i="1" s="1"/>
  <c r="O68" i="1"/>
  <c r="P68" i="1" s="1"/>
  <c r="O69" i="1"/>
  <c r="P69" i="1" s="1"/>
  <c r="O2" i="1"/>
  <c r="P2" i="1" s="1"/>
  <c r="O3" i="1"/>
  <c r="P3" i="1" s="1"/>
  <c r="O112" i="1"/>
  <c r="P112" i="1" s="1"/>
  <c r="O4" i="1"/>
  <c r="P4" i="1" s="1"/>
  <c r="O5" i="1"/>
  <c r="P5" i="1" s="1"/>
  <c r="O113" i="1"/>
  <c r="P113" i="1" s="1"/>
  <c r="O6" i="1"/>
  <c r="P6" i="1" s="1"/>
  <c r="O7" i="1"/>
  <c r="P7" i="1" s="1"/>
  <c r="O114" i="1"/>
  <c r="P114" i="1" s="1"/>
  <c r="O8" i="1"/>
  <c r="P8" i="1" s="1"/>
  <c r="O9" i="1"/>
  <c r="P9" i="1" s="1"/>
  <c r="O115" i="1"/>
  <c r="P115" i="1" s="1"/>
  <c r="O10" i="1"/>
  <c r="P10" i="1" s="1"/>
  <c r="O11" i="1"/>
  <c r="P11" i="1" s="1"/>
  <c r="O116" i="1"/>
  <c r="P116" i="1" s="1"/>
  <c r="O12" i="1"/>
  <c r="P12" i="1" s="1"/>
  <c r="O13" i="1"/>
  <c r="P13" i="1" s="1"/>
  <c r="O14" i="1"/>
  <c r="P14" i="1" s="1"/>
  <c r="O117" i="1"/>
  <c r="P117" i="1" s="1"/>
  <c r="O15" i="1"/>
  <c r="P15" i="1" s="1"/>
  <c r="O118" i="1"/>
  <c r="P118" i="1" s="1"/>
  <c r="O16" i="1"/>
  <c r="P16" i="1" s="1"/>
  <c r="O17" i="1"/>
  <c r="P17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8" i="1"/>
  <c r="P18" i="1" s="1"/>
  <c r="O19" i="1"/>
  <c r="P19" i="1" s="1"/>
  <c r="O20" i="1"/>
  <c r="P20" i="1" s="1"/>
  <c r="O21" i="1"/>
  <c r="P21" i="1" s="1"/>
  <c r="O22" i="1"/>
  <c r="P22" i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119" i="1"/>
  <c r="P119" i="1" s="1"/>
  <c r="O120" i="1"/>
  <c r="P120" i="1" s="1"/>
  <c r="O37" i="1"/>
  <c r="P37" i="1" s="1"/>
  <c r="O121" i="1"/>
  <c r="P121" i="1" s="1"/>
  <c r="O122" i="1"/>
  <c r="P122" i="1" s="1"/>
  <c r="O38" i="1"/>
  <c r="P38" i="1" s="1"/>
  <c r="O123" i="1"/>
  <c r="P123" i="1" s="1"/>
  <c r="O124" i="1"/>
  <c r="P124" i="1" s="1"/>
  <c r="O39" i="1"/>
  <c r="P39" i="1" s="1"/>
  <c r="O125" i="1"/>
  <c r="P125" i="1" s="1"/>
  <c r="O40" i="1"/>
  <c r="P40" i="1" s="1"/>
  <c r="O126" i="1"/>
  <c r="P126" i="1" s="1"/>
  <c r="O127" i="1"/>
  <c r="P127" i="1" s="1"/>
  <c r="O41" i="1"/>
  <c r="P41" i="1" s="1"/>
  <c r="J36" i="1"/>
  <c r="K36" i="1"/>
  <c r="L36" i="1"/>
  <c r="M36" i="1"/>
  <c r="J119" i="1"/>
  <c r="K119" i="1"/>
  <c r="L119" i="1"/>
  <c r="M119" i="1"/>
  <c r="J120" i="1"/>
  <c r="K120" i="1"/>
  <c r="L120" i="1"/>
  <c r="M120" i="1"/>
  <c r="J37" i="1"/>
  <c r="K37" i="1"/>
  <c r="L37" i="1"/>
  <c r="M37" i="1"/>
  <c r="J121" i="1"/>
  <c r="K121" i="1"/>
  <c r="L121" i="1"/>
  <c r="M121" i="1"/>
  <c r="S121" i="1" s="1"/>
  <c r="J122" i="1"/>
  <c r="K122" i="1"/>
  <c r="L122" i="1"/>
  <c r="M122" i="1"/>
  <c r="S122" i="1" s="1"/>
  <c r="J38" i="1"/>
  <c r="K38" i="1"/>
  <c r="L38" i="1"/>
  <c r="M38" i="1"/>
  <c r="J123" i="1"/>
  <c r="K123" i="1"/>
  <c r="L123" i="1"/>
  <c r="M123" i="1"/>
  <c r="J124" i="1"/>
  <c r="K124" i="1"/>
  <c r="L124" i="1"/>
  <c r="M124" i="1"/>
  <c r="J39" i="1"/>
  <c r="K39" i="1"/>
  <c r="L39" i="1"/>
  <c r="M39" i="1"/>
  <c r="J125" i="1"/>
  <c r="K125" i="1"/>
  <c r="L125" i="1"/>
  <c r="M125" i="1"/>
  <c r="S125" i="1" s="1"/>
  <c r="J40" i="1"/>
  <c r="K40" i="1"/>
  <c r="L40" i="1"/>
  <c r="M40" i="1"/>
  <c r="S40" i="1" s="1"/>
  <c r="J126" i="1"/>
  <c r="K126" i="1"/>
  <c r="L126" i="1"/>
  <c r="M126" i="1"/>
  <c r="J127" i="1"/>
  <c r="K127" i="1"/>
  <c r="L127" i="1"/>
  <c r="M12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S22" i="1" s="1"/>
  <c r="J23" i="1"/>
  <c r="K23" i="1"/>
  <c r="L23" i="1"/>
  <c r="M23" i="1"/>
  <c r="S23" i="1" s="1"/>
  <c r="J24" i="1"/>
  <c r="K24" i="1"/>
  <c r="L24" i="1"/>
  <c r="M24" i="1"/>
  <c r="J25" i="1"/>
  <c r="K25" i="1"/>
  <c r="L25" i="1"/>
  <c r="M25" i="1"/>
  <c r="S25" i="1" s="1"/>
  <c r="J26" i="1"/>
  <c r="K26" i="1"/>
  <c r="L26" i="1"/>
  <c r="M26" i="1"/>
  <c r="J27" i="1"/>
  <c r="K27" i="1"/>
  <c r="L27" i="1"/>
  <c r="M27" i="1"/>
  <c r="J28" i="1"/>
  <c r="K28" i="1"/>
  <c r="L28" i="1"/>
  <c r="M28" i="1"/>
  <c r="S28" i="1" s="1"/>
  <c r="J29" i="1"/>
  <c r="K29" i="1"/>
  <c r="L29" i="1"/>
  <c r="M29" i="1"/>
  <c r="S29" i="1" s="1"/>
  <c r="J30" i="1"/>
  <c r="K30" i="1"/>
  <c r="L30" i="1"/>
  <c r="M30" i="1"/>
  <c r="J31" i="1"/>
  <c r="K31" i="1"/>
  <c r="L31" i="1"/>
  <c r="M31" i="1"/>
  <c r="S31" i="1" s="1"/>
  <c r="J32" i="1"/>
  <c r="K32" i="1"/>
  <c r="L32" i="1"/>
  <c r="M32" i="1"/>
  <c r="J33" i="1"/>
  <c r="K33" i="1"/>
  <c r="L33" i="1"/>
  <c r="M33" i="1"/>
  <c r="J34" i="1"/>
  <c r="K34" i="1"/>
  <c r="L34" i="1"/>
  <c r="M34" i="1"/>
  <c r="S34" i="1" s="1"/>
  <c r="J35" i="1"/>
  <c r="K35" i="1"/>
  <c r="L35" i="1"/>
  <c r="M35" i="1"/>
  <c r="S35" i="1" s="1"/>
  <c r="J102" i="1"/>
  <c r="K102" i="1"/>
  <c r="L102" i="1"/>
  <c r="M102" i="1"/>
  <c r="J103" i="1"/>
  <c r="K103" i="1"/>
  <c r="L103" i="1"/>
  <c r="M103" i="1"/>
  <c r="S103" i="1" s="1"/>
  <c r="J104" i="1"/>
  <c r="K104" i="1"/>
  <c r="L104" i="1"/>
  <c r="M104" i="1"/>
  <c r="S104" i="1" s="1"/>
  <c r="J105" i="1"/>
  <c r="K105" i="1"/>
  <c r="L105" i="1"/>
  <c r="M105" i="1"/>
  <c r="S105" i="1" s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S109" i="1" s="1"/>
  <c r="J110" i="1"/>
  <c r="K110" i="1"/>
  <c r="L110" i="1"/>
  <c r="M110" i="1"/>
  <c r="S110" i="1" s="1"/>
  <c r="J111" i="1"/>
  <c r="K111" i="1"/>
  <c r="L111" i="1"/>
  <c r="M111" i="1"/>
  <c r="S111" i="1" s="1"/>
  <c r="J70" i="1"/>
  <c r="J17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S74" i="1" s="1"/>
  <c r="J75" i="1"/>
  <c r="K75" i="1"/>
  <c r="L75" i="1"/>
  <c r="M75" i="1"/>
  <c r="S75" i="1" s="1"/>
  <c r="J76" i="1"/>
  <c r="K76" i="1"/>
  <c r="L76" i="1"/>
  <c r="M76" i="1"/>
  <c r="J77" i="1"/>
  <c r="K77" i="1"/>
  <c r="L77" i="1"/>
  <c r="M77" i="1"/>
  <c r="J78" i="1"/>
  <c r="K78" i="1"/>
  <c r="L78" i="1"/>
  <c r="M78" i="1"/>
  <c r="J79" i="1"/>
  <c r="K79" i="1"/>
  <c r="L79" i="1"/>
  <c r="M79" i="1"/>
  <c r="J80" i="1"/>
  <c r="K80" i="1"/>
  <c r="L80" i="1"/>
  <c r="M80" i="1"/>
  <c r="S80" i="1" s="1"/>
  <c r="J81" i="1"/>
  <c r="K81" i="1"/>
  <c r="L81" i="1"/>
  <c r="M81" i="1"/>
  <c r="S81" i="1" s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S86" i="1" s="1"/>
  <c r="J87" i="1"/>
  <c r="K87" i="1"/>
  <c r="L87" i="1"/>
  <c r="M87" i="1"/>
  <c r="S87" i="1" s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S92" i="1" s="1"/>
  <c r="J93" i="1"/>
  <c r="K93" i="1"/>
  <c r="L93" i="1"/>
  <c r="M93" i="1"/>
  <c r="S93" i="1" s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S98" i="1" s="1"/>
  <c r="J99" i="1"/>
  <c r="K99" i="1"/>
  <c r="L99" i="1"/>
  <c r="M99" i="1"/>
  <c r="S99" i="1" s="1"/>
  <c r="J100" i="1"/>
  <c r="K100" i="1"/>
  <c r="L100" i="1"/>
  <c r="M100" i="1"/>
  <c r="J101" i="1"/>
  <c r="K101" i="1"/>
  <c r="L101" i="1"/>
  <c r="M101" i="1"/>
  <c r="S100" i="1" l="1"/>
  <c r="S97" i="1"/>
  <c r="S94" i="1"/>
  <c r="T94" i="1" s="1"/>
  <c r="S91" i="1"/>
  <c r="T91" i="1" s="1"/>
  <c r="S88" i="1"/>
  <c r="S85" i="1"/>
  <c r="S82" i="1"/>
  <c r="S79" i="1"/>
  <c r="S76" i="1"/>
  <c r="S73" i="1"/>
  <c r="S70" i="1"/>
  <c r="T70" i="1" s="1"/>
  <c r="S126" i="1"/>
  <c r="T126" i="1" s="1"/>
  <c r="S38" i="1"/>
  <c r="S36" i="1"/>
  <c r="S106" i="1"/>
  <c r="S39" i="1"/>
  <c r="T39" i="1" s="1"/>
  <c r="S37" i="1"/>
  <c r="T37" i="1" s="1"/>
  <c r="S33" i="1"/>
  <c r="S27" i="1"/>
  <c r="S21" i="1"/>
  <c r="S19" i="1"/>
  <c r="S30" i="1"/>
  <c r="S24" i="1"/>
  <c r="T24" i="1" s="1"/>
  <c r="S18" i="1"/>
  <c r="T18" i="1" s="1"/>
  <c r="T23" i="1"/>
  <c r="T125" i="1"/>
  <c r="T109" i="1"/>
  <c r="T106" i="1"/>
  <c r="T103" i="1"/>
  <c r="T34" i="1"/>
  <c r="T31" i="1"/>
  <c r="T28" i="1"/>
  <c r="T25" i="1"/>
  <c r="T22" i="1"/>
  <c r="T19" i="1"/>
  <c r="T38" i="1"/>
  <c r="T36" i="1"/>
  <c r="T111" i="1"/>
  <c r="T33" i="1"/>
  <c r="T30" i="1"/>
  <c r="T40" i="1"/>
  <c r="T122" i="1"/>
  <c r="S90" i="1"/>
  <c r="T90" i="1" s="1"/>
  <c r="T79" i="1"/>
  <c r="S89" i="1"/>
  <c r="T89" i="1" s="1"/>
  <c r="T74" i="1"/>
  <c r="T110" i="1"/>
  <c r="S107" i="1"/>
  <c r="T107" i="1" s="1"/>
  <c r="T104" i="1"/>
  <c r="T35" i="1"/>
  <c r="S32" i="1"/>
  <c r="T32" i="1" s="1"/>
  <c r="T29" i="1"/>
  <c r="S26" i="1"/>
  <c r="T26" i="1" s="1"/>
  <c r="S20" i="1"/>
  <c r="T20" i="1" s="1"/>
  <c r="S127" i="1"/>
  <c r="T127" i="1" s="1"/>
  <c r="S123" i="1"/>
  <c r="T123" i="1" s="1"/>
  <c r="T121" i="1"/>
  <c r="S119" i="1"/>
  <c r="T119" i="1" s="1"/>
  <c r="T76" i="1"/>
  <c r="S84" i="1"/>
  <c r="T84" i="1" s="1"/>
  <c r="T75" i="1"/>
  <c r="T105" i="1"/>
  <c r="S102" i="1"/>
  <c r="T102" i="1" s="1"/>
  <c r="T27" i="1"/>
  <c r="T21" i="1"/>
  <c r="S120" i="1"/>
  <c r="T120" i="1" s="1"/>
  <c r="S101" i="1"/>
  <c r="T101" i="1" s="1"/>
  <c r="S95" i="1"/>
  <c r="T95" i="1" s="1"/>
  <c r="S83" i="1"/>
  <c r="T83" i="1" s="1"/>
  <c r="S77" i="1"/>
  <c r="T77" i="1" s="1"/>
  <c r="S96" i="1"/>
  <c r="T96" i="1" s="1"/>
  <c r="S78" i="1"/>
  <c r="T78" i="1" s="1"/>
  <c r="S72" i="1"/>
  <c r="T72" i="1" s="1"/>
  <c r="S108" i="1"/>
  <c r="T108" i="1" s="1"/>
  <c r="S124" i="1"/>
  <c r="T124" i="1" s="1"/>
  <c r="S71" i="1"/>
  <c r="T71" i="1" s="1"/>
  <c r="T100" i="1"/>
  <c r="T99" i="1"/>
  <c r="T98" i="1"/>
  <c r="T97" i="1"/>
  <c r="T93" i="1"/>
  <c r="T92" i="1"/>
  <c r="T88" i="1"/>
  <c r="T87" i="1"/>
  <c r="T86" i="1"/>
  <c r="T85" i="1"/>
  <c r="T82" i="1"/>
  <c r="T81" i="1"/>
  <c r="T80" i="1"/>
  <c r="T73" i="1"/>
  <c r="M2" i="1"/>
  <c r="S2" i="1" s="1"/>
  <c r="M3" i="1"/>
  <c r="S3" i="1" s="1"/>
  <c r="M112" i="1"/>
  <c r="S112" i="1" s="1"/>
  <c r="M4" i="1"/>
  <c r="S4" i="1" s="1"/>
  <c r="M5" i="1"/>
  <c r="S5" i="1" s="1"/>
  <c r="M113" i="1"/>
  <c r="S113" i="1" s="1"/>
  <c r="M6" i="1"/>
  <c r="S6" i="1" s="1"/>
  <c r="M7" i="1"/>
  <c r="S7" i="1" s="1"/>
  <c r="M114" i="1"/>
  <c r="S114" i="1" s="1"/>
  <c r="M8" i="1"/>
  <c r="S8" i="1" s="1"/>
  <c r="M9" i="1"/>
  <c r="S9" i="1" s="1"/>
  <c r="M115" i="1"/>
  <c r="S115" i="1" s="1"/>
  <c r="M10" i="1"/>
  <c r="S10" i="1" s="1"/>
  <c r="M11" i="1"/>
  <c r="S11" i="1" s="1"/>
  <c r="M116" i="1"/>
  <c r="S116" i="1" s="1"/>
  <c r="M12" i="1"/>
  <c r="S12" i="1" s="1"/>
  <c r="M13" i="1"/>
  <c r="S13" i="1" s="1"/>
  <c r="M14" i="1"/>
  <c r="S14" i="1" s="1"/>
  <c r="M117" i="1"/>
  <c r="S117" i="1" s="1"/>
  <c r="M15" i="1"/>
  <c r="S15" i="1" s="1"/>
  <c r="M118" i="1"/>
  <c r="S118" i="1" s="1"/>
  <c r="M16" i="1"/>
  <c r="S16" i="1" s="1"/>
  <c r="M17" i="1"/>
  <c r="S17" i="1" s="1"/>
  <c r="J3" i="1"/>
  <c r="J112" i="1"/>
  <c r="J4" i="1"/>
  <c r="J5" i="1"/>
  <c r="J113" i="1"/>
  <c r="J6" i="1"/>
  <c r="J7" i="1"/>
  <c r="J114" i="1"/>
  <c r="J8" i="1"/>
  <c r="J9" i="1"/>
  <c r="J115" i="1"/>
  <c r="J10" i="1"/>
  <c r="J11" i="1"/>
  <c r="J116" i="1"/>
  <c r="J12" i="1"/>
  <c r="J13" i="1"/>
  <c r="J14" i="1"/>
  <c r="J117" i="1"/>
  <c r="J15" i="1"/>
  <c r="J118" i="1"/>
  <c r="J16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2" i="1"/>
  <c r="K62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2" i="1"/>
  <c r="L2" i="1"/>
  <c r="K3" i="1"/>
  <c r="L3" i="1"/>
  <c r="K112" i="1"/>
  <c r="L112" i="1"/>
  <c r="K4" i="1"/>
  <c r="L4" i="1"/>
  <c r="K5" i="1"/>
  <c r="L5" i="1"/>
  <c r="K113" i="1"/>
  <c r="L113" i="1"/>
  <c r="K6" i="1"/>
  <c r="L6" i="1"/>
  <c r="K7" i="1"/>
  <c r="L7" i="1"/>
  <c r="K114" i="1"/>
  <c r="L114" i="1"/>
  <c r="K8" i="1"/>
  <c r="L8" i="1"/>
  <c r="K9" i="1"/>
  <c r="L9" i="1"/>
  <c r="K115" i="1"/>
  <c r="L115" i="1"/>
  <c r="K10" i="1"/>
  <c r="L10" i="1"/>
  <c r="K11" i="1"/>
  <c r="L11" i="1"/>
  <c r="K116" i="1"/>
  <c r="L116" i="1"/>
  <c r="K12" i="1"/>
  <c r="L12" i="1"/>
  <c r="K13" i="1"/>
  <c r="L13" i="1"/>
  <c r="K14" i="1"/>
  <c r="L14" i="1"/>
  <c r="K117" i="1"/>
  <c r="L117" i="1"/>
  <c r="K15" i="1"/>
  <c r="L15" i="1"/>
  <c r="K118" i="1"/>
  <c r="L118" i="1"/>
  <c r="K16" i="1"/>
  <c r="L16" i="1"/>
  <c r="K17" i="1"/>
  <c r="L17" i="1"/>
  <c r="L41" i="1"/>
  <c r="K41" i="1"/>
  <c r="M48" i="1"/>
  <c r="S48" i="1" s="1"/>
  <c r="M49" i="1"/>
  <c r="S49" i="1" s="1"/>
  <c r="M50" i="1"/>
  <c r="S50" i="1" s="1"/>
  <c r="M51" i="1"/>
  <c r="S51" i="1" s="1"/>
  <c r="M52" i="1"/>
  <c r="S52" i="1" s="1"/>
  <c r="M53" i="1"/>
  <c r="S53" i="1" s="1"/>
  <c r="M54" i="1"/>
  <c r="S54" i="1" s="1"/>
  <c r="M55" i="1"/>
  <c r="S55" i="1" s="1"/>
  <c r="M56" i="1"/>
  <c r="S56" i="1" s="1"/>
  <c r="M57" i="1"/>
  <c r="S57" i="1" s="1"/>
  <c r="M58" i="1"/>
  <c r="S58" i="1" s="1"/>
  <c r="M59" i="1"/>
  <c r="S59" i="1" s="1"/>
  <c r="M60" i="1"/>
  <c r="S60" i="1" s="1"/>
  <c r="M61" i="1"/>
  <c r="S61" i="1" s="1"/>
  <c r="M62" i="1"/>
  <c r="S62" i="1" s="1"/>
  <c r="M63" i="1"/>
  <c r="S63" i="1" s="1"/>
  <c r="M64" i="1"/>
  <c r="S64" i="1" s="1"/>
  <c r="M65" i="1"/>
  <c r="S65" i="1" s="1"/>
  <c r="M66" i="1"/>
  <c r="S66" i="1" s="1"/>
  <c r="M67" i="1"/>
  <c r="S67" i="1" s="1"/>
  <c r="M68" i="1"/>
  <c r="S68" i="1" s="1"/>
  <c r="M69" i="1"/>
  <c r="S69" i="1" s="1"/>
  <c r="M42" i="1"/>
  <c r="S42" i="1" s="1"/>
  <c r="M43" i="1"/>
  <c r="S43" i="1" s="1"/>
  <c r="M44" i="1"/>
  <c r="S44" i="1" s="1"/>
  <c r="M45" i="1"/>
  <c r="S45" i="1" s="1"/>
  <c r="M46" i="1"/>
  <c r="S46" i="1" s="1"/>
  <c r="T46" i="1" s="1"/>
  <c r="M47" i="1"/>
  <c r="S47" i="1" s="1"/>
  <c r="M41" i="1"/>
  <c r="S41" i="1" s="1"/>
  <c r="T54" i="1" l="1"/>
  <c r="T67" i="1"/>
  <c r="T41" i="1"/>
  <c r="T61" i="1"/>
  <c r="T49" i="1"/>
  <c r="T45" i="1"/>
  <c r="T63" i="1"/>
  <c r="T65" i="1"/>
  <c r="T52" i="1"/>
  <c r="T53" i="1"/>
  <c r="T50" i="1"/>
  <c r="T115" i="1"/>
  <c r="T44" i="1"/>
  <c r="T12" i="1"/>
  <c r="T60" i="1"/>
  <c r="T58" i="1"/>
  <c r="T57" i="1"/>
  <c r="T15" i="1"/>
  <c r="T7" i="1"/>
  <c r="T4" i="1"/>
  <c r="T48" i="1"/>
  <c r="T42" i="1"/>
  <c r="T69" i="1"/>
  <c r="T56" i="1"/>
  <c r="T6" i="1"/>
  <c r="T112" i="1"/>
  <c r="T68" i="1"/>
  <c r="T17" i="1"/>
  <c r="T9" i="1"/>
  <c r="T47" i="1"/>
  <c r="T43" i="1"/>
  <c r="T59" i="1"/>
  <c r="T55" i="1"/>
  <c r="T51" i="1"/>
  <c r="T16" i="1"/>
  <c r="T14" i="1"/>
  <c r="T11" i="1"/>
  <c r="T8" i="1"/>
  <c r="T113" i="1"/>
  <c r="T3" i="1"/>
  <c r="T64" i="1"/>
  <c r="T117" i="1"/>
  <c r="T116" i="1"/>
  <c r="T66" i="1"/>
  <c r="T62" i="1"/>
  <c r="T118" i="1"/>
  <c r="T13" i="1"/>
  <c r="T10" i="1"/>
  <c r="T114" i="1"/>
  <c r="T5" i="1"/>
  <c r="T2" i="1"/>
</calcChain>
</file>

<file path=xl/sharedStrings.xml><?xml version="1.0" encoding="utf-8"?>
<sst xmlns="http://schemas.openxmlformats.org/spreadsheetml/2006/main" count="648" uniqueCount="75">
  <si>
    <t>FishID</t>
  </si>
  <si>
    <t>Species</t>
  </si>
  <si>
    <t>Length</t>
  </si>
  <si>
    <t>Weight</t>
  </si>
  <si>
    <t>Container</t>
  </si>
  <si>
    <t>Volume</t>
  </si>
  <si>
    <t>Trial</t>
  </si>
  <si>
    <t>Start_time</t>
  </si>
  <si>
    <t>End_time</t>
  </si>
  <si>
    <t>Start_DO</t>
  </si>
  <si>
    <t>End_DO</t>
  </si>
  <si>
    <t>Start_temp</t>
  </si>
  <si>
    <t>End_temp</t>
  </si>
  <si>
    <t>Avg_temp</t>
  </si>
  <si>
    <t>Date</t>
  </si>
  <si>
    <t>1itou</t>
  </si>
  <si>
    <t>Parahucho perryi</t>
  </si>
  <si>
    <t>2itou</t>
  </si>
  <si>
    <t>3itou</t>
  </si>
  <si>
    <t>Length_mm</t>
  </si>
  <si>
    <t>Weight_g</t>
  </si>
  <si>
    <t>Volume_mL</t>
  </si>
  <si>
    <t>1mas</t>
  </si>
  <si>
    <t>2mas</t>
  </si>
  <si>
    <t>1cha</t>
  </si>
  <si>
    <t>Salvelinus leucomaenis</t>
  </si>
  <si>
    <t>Oncorhynchus masou</t>
  </si>
  <si>
    <t>5itou</t>
  </si>
  <si>
    <t>6itou</t>
  </si>
  <si>
    <t>7itou</t>
  </si>
  <si>
    <t>8itou</t>
  </si>
  <si>
    <t>9itou</t>
  </si>
  <si>
    <t>10itou</t>
  </si>
  <si>
    <t>4mas</t>
  </si>
  <si>
    <t>5mas</t>
  </si>
  <si>
    <t>6mas</t>
  </si>
  <si>
    <t>7mas</t>
  </si>
  <si>
    <t>2cha</t>
  </si>
  <si>
    <t>3cha</t>
  </si>
  <si>
    <t>Duration_days</t>
  </si>
  <si>
    <t>Duration_hoursmins</t>
  </si>
  <si>
    <t>delta_DO_mgL</t>
  </si>
  <si>
    <t>delta_DO_g</t>
  </si>
  <si>
    <t>Respiration_g_g_day</t>
  </si>
  <si>
    <t>g/g/hr</t>
  </si>
  <si>
    <t>g/g/day</t>
  </si>
  <si>
    <t>mg/g/hr</t>
  </si>
  <si>
    <t>mg/kg/hr</t>
  </si>
  <si>
    <t>mg/kg/min</t>
  </si>
  <si>
    <t>temp_bin</t>
  </si>
  <si>
    <t>temp</t>
  </si>
  <si>
    <t>rate_output</t>
  </si>
  <si>
    <t>Method</t>
  </si>
  <si>
    <t>trial</t>
  </si>
  <si>
    <t>rep</t>
  </si>
  <si>
    <t>Masu14</t>
  </si>
  <si>
    <t>Masu</t>
  </si>
  <si>
    <t>Static</t>
  </si>
  <si>
    <t>NA</t>
  </si>
  <si>
    <t>Masu15</t>
  </si>
  <si>
    <t>Masu16</t>
  </si>
  <si>
    <t>Masu17</t>
  </si>
  <si>
    <t>Masu18</t>
  </si>
  <si>
    <t>Masu19</t>
  </si>
  <si>
    <t>Ito14</t>
  </si>
  <si>
    <t>Ito</t>
  </si>
  <si>
    <t>Ito15</t>
  </si>
  <si>
    <t>Ito16</t>
  </si>
  <si>
    <t>Ito17</t>
  </si>
  <si>
    <t>Ito18</t>
  </si>
  <si>
    <t>Ito19</t>
  </si>
  <si>
    <t>Ito20</t>
  </si>
  <si>
    <t>Ito21</t>
  </si>
  <si>
    <t>Ito22</t>
  </si>
  <si>
    <t>delta_temp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</si>
</sst>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Masou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Full_data!$V$1</c:f>
              <c:strCache>
                <c:ptCount val="1"/>
                <c:pt idx="0">
                  <c:v>Respiration_g_g_day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6.4174978127734039E-2"/>
                  <c:y val="4.98822543015456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Full_data!$U$2:$U$40</c:f>
              <c:numCache>
                <c:formatCode>0.0</c:formatCode>
                <c:ptCount val="39"/>
                <c:pt idx="0">
                  <c:v>9.9499999999999993</c:v>
                </c:pt>
                <c:pt idx="1">
                  <c:v>9.6</c:v>
                </c:pt>
                <c:pt idx="2">
                  <c:v>10.600000000000001</c:v>
                </c:pt>
                <c:pt idx="3">
                  <c:v>10.199999999999999</c:v>
                </c:pt>
                <c:pt idx="4">
                  <c:v>11.75</c:v>
                </c:pt>
                <c:pt idx="5">
                  <c:v>11.4</c:v>
                </c:pt>
                <c:pt idx="6">
                  <c:v>13.65</c:v>
                </c:pt>
                <c:pt idx="7">
                  <c:v>13.600000000000001</c:v>
                </c:pt>
                <c:pt idx="8">
                  <c:v>17.55</c:v>
                </c:pt>
                <c:pt idx="9">
                  <c:v>18.100000000000001</c:v>
                </c:pt>
                <c:pt idx="10">
                  <c:v>19.75</c:v>
                </c:pt>
                <c:pt idx="11">
                  <c:v>19.5</c:v>
                </c:pt>
                <c:pt idx="12">
                  <c:v>20</c:v>
                </c:pt>
                <c:pt idx="13">
                  <c:v>20.6</c:v>
                </c:pt>
                <c:pt idx="14">
                  <c:v>20.049999999999997</c:v>
                </c:pt>
                <c:pt idx="15">
                  <c:v>19.450000000000003</c:v>
                </c:pt>
                <c:pt idx="16">
                  <c:v>14.05</c:v>
                </c:pt>
                <c:pt idx="17">
                  <c:v>14</c:v>
                </c:pt>
                <c:pt idx="18">
                  <c:v>13.8</c:v>
                </c:pt>
                <c:pt idx="19">
                  <c:v>14.8</c:v>
                </c:pt>
                <c:pt idx="20">
                  <c:v>14.850000000000001</c:v>
                </c:pt>
                <c:pt idx="21">
                  <c:v>14.649999999999999</c:v>
                </c:pt>
                <c:pt idx="22">
                  <c:v>17.75</c:v>
                </c:pt>
                <c:pt idx="23">
                  <c:v>17.850000000000001</c:v>
                </c:pt>
                <c:pt idx="24">
                  <c:v>16.95</c:v>
                </c:pt>
                <c:pt idx="25">
                  <c:v>21.05</c:v>
                </c:pt>
                <c:pt idx="26">
                  <c:v>20.95</c:v>
                </c:pt>
                <c:pt idx="27">
                  <c:v>18.95</c:v>
                </c:pt>
                <c:pt idx="28">
                  <c:v>22.4</c:v>
                </c:pt>
                <c:pt idx="29">
                  <c:v>22.2</c:v>
                </c:pt>
                <c:pt idx="30">
                  <c:v>20.7</c:v>
                </c:pt>
                <c:pt idx="31">
                  <c:v>22.95</c:v>
                </c:pt>
                <c:pt idx="32">
                  <c:v>23</c:v>
                </c:pt>
                <c:pt idx="33">
                  <c:v>21.7</c:v>
                </c:pt>
                <c:pt idx="34">
                  <c:v>13.95</c:v>
                </c:pt>
                <c:pt idx="35">
                  <c:v>15</c:v>
                </c:pt>
                <c:pt idx="36">
                  <c:v>16.3</c:v>
                </c:pt>
                <c:pt idx="37">
                  <c:v>17.7</c:v>
                </c:pt>
                <c:pt idx="38">
                  <c:v>18.200000000000003</c:v>
                </c:pt>
              </c:numCache>
            </c:numRef>
          </c:xVal>
          <c:yVal>
            <c:numRef>
              <c:f>Full_data!$V$2:$V$40</c:f>
              <c:numCache>
                <c:formatCode>0.0000</c:formatCode>
                <c:ptCount val="39"/>
                <c:pt idx="0">
                  <c:v>2.6637154150197634E-3</c:v>
                </c:pt>
                <c:pt idx="1">
                  <c:v>2.4005172413793089E-3</c:v>
                </c:pt>
                <c:pt idx="2">
                  <c:v>3.2651995409919629E-3</c:v>
                </c:pt>
                <c:pt idx="3">
                  <c:v>2.4086464230571331E-3</c:v>
                </c:pt>
                <c:pt idx="4">
                  <c:v>3.317536471433697E-3</c:v>
                </c:pt>
                <c:pt idx="5">
                  <c:v>3.0045893416927919E-3</c:v>
                </c:pt>
                <c:pt idx="6">
                  <c:v>3.8864044579796637E-3</c:v>
                </c:pt>
                <c:pt idx="7">
                  <c:v>3.2804974561899442E-3</c:v>
                </c:pt>
                <c:pt idx="8">
                  <c:v>6.4521106719367602E-3</c:v>
                </c:pt>
                <c:pt idx="9">
                  <c:v>5.2788965517241394E-3</c:v>
                </c:pt>
                <c:pt idx="10">
                  <c:v>6.3548639186899987E-3</c:v>
                </c:pt>
                <c:pt idx="11">
                  <c:v>6.4193103448275807E-3</c:v>
                </c:pt>
                <c:pt idx="12">
                  <c:v>6.5442092746729975E-3</c:v>
                </c:pt>
                <c:pt idx="13">
                  <c:v>8.2131225296442206E-3</c:v>
                </c:pt>
                <c:pt idx="14">
                  <c:v>7.537103844771801E-3</c:v>
                </c:pt>
                <c:pt idx="15">
                  <c:v>6.455172413793126E-3</c:v>
                </c:pt>
                <c:pt idx="16">
                  <c:v>4.6311087533156495E-3</c:v>
                </c:pt>
                <c:pt idx="17">
                  <c:v>5.0249356725146146E-3</c:v>
                </c:pt>
                <c:pt idx="18">
                  <c:v>4.0530892448512566E-3</c:v>
                </c:pt>
                <c:pt idx="19">
                  <c:v>4.7239503722084327E-3</c:v>
                </c:pt>
                <c:pt idx="20">
                  <c:v>5.3118306878306935E-3</c:v>
                </c:pt>
                <c:pt idx="21">
                  <c:v>3.7159751552794987E-3</c:v>
                </c:pt>
                <c:pt idx="22">
                  <c:v>7.0583184257602951E-3</c:v>
                </c:pt>
                <c:pt idx="23">
                  <c:v>6.8308837209302186E-3</c:v>
                </c:pt>
                <c:pt idx="24">
                  <c:v>4.7707826086956428E-3</c:v>
                </c:pt>
                <c:pt idx="25">
                  <c:v>9.0017622377622682E-3</c:v>
                </c:pt>
                <c:pt idx="26">
                  <c:v>9.2437829457364326E-3</c:v>
                </c:pt>
                <c:pt idx="27">
                  <c:v>5.9099696663296461E-3</c:v>
                </c:pt>
                <c:pt idx="28">
                  <c:v>9.7605314685314699E-3</c:v>
                </c:pt>
                <c:pt idx="29">
                  <c:v>9.9045925925925916E-3</c:v>
                </c:pt>
                <c:pt idx="30">
                  <c:v>6.5624801512287334E-3</c:v>
                </c:pt>
                <c:pt idx="31">
                  <c:v>1.1381538461538452E-2</c:v>
                </c:pt>
                <c:pt idx="32">
                  <c:v>1.072926315789473E-2</c:v>
                </c:pt>
                <c:pt idx="33">
                  <c:v>7.4884317841079325E-3</c:v>
                </c:pt>
                <c:pt idx="34">
                  <c:v>6.1733129770992299E-3</c:v>
                </c:pt>
                <c:pt idx="35">
                  <c:v>6.4053165693758367E-3</c:v>
                </c:pt>
                <c:pt idx="36">
                  <c:v>6.974656488549634E-3</c:v>
                </c:pt>
                <c:pt idx="37">
                  <c:v>8.1783206106870194E-3</c:v>
                </c:pt>
                <c:pt idx="38">
                  <c:v>7.4594198473282433E-3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2-45B8-ADD7-5AF43599B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493199"/>
        <c:axId val="903496527"/>
      </c:scatterChart>
      <c:valAx>
        <c:axId val="90349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(deg 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96527"/>
        <c:crosses val="autoZero"/>
        <c:crossBetween val="midCat"/>
      </c:valAx>
      <c:valAx>
        <c:axId val="90349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Respiration (g/g 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93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Itou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Full_data!$V$1</c:f>
              <c:strCache>
                <c:ptCount val="1"/>
                <c:pt idx="0">
                  <c:v>Respiration_g_g_day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0.15778871391076116"/>
                  <c:y val="0.136866068824730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Full_data!$U$41:$U$111</c:f>
              <c:numCache>
                <c:formatCode>0.0</c:formatCode>
                <c:ptCount val="71"/>
                <c:pt idx="0">
                  <c:v>16.149999999999999</c:v>
                </c:pt>
                <c:pt idx="1">
                  <c:v>16.5</c:v>
                </c:pt>
                <c:pt idx="2">
                  <c:v>16.649999999999999</c:v>
                </c:pt>
                <c:pt idx="3">
                  <c:v>16.75</c:v>
                </c:pt>
                <c:pt idx="4">
                  <c:v>17.05</c:v>
                </c:pt>
                <c:pt idx="5">
                  <c:v>15.850000000000001</c:v>
                </c:pt>
                <c:pt idx="6">
                  <c:v>15.55</c:v>
                </c:pt>
                <c:pt idx="7">
                  <c:v>15.45</c:v>
                </c:pt>
                <c:pt idx="8">
                  <c:v>11.649999999999999</c:v>
                </c:pt>
                <c:pt idx="9">
                  <c:v>11.85</c:v>
                </c:pt>
                <c:pt idx="10">
                  <c:v>11.7</c:v>
                </c:pt>
                <c:pt idx="11">
                  <c:v>11.55</c:v>
                </c:pt>
                <c:pt idx="12">
                  <c:v>11.6</c:v>
                </c:pt>
                <c:pt idx="13">
                  <c:v>11.5</c:v>
                </c:pt>
                <c:pt idx="14">
                  <c:v>13.425000000000001</c:v>
                </c:pt>
                <c:pt idx="15">
                  <c:v>13.2</c:v>
                </c:pt>
                <c:pt idx="16">
                  <c:v>13.35</c:v>
                </c:pt>
                <c:pt idx="17">
                  <c:v>14.25</c:v>
                </c:pt>
                <c:pt idx="18">
                  <c:v>14.4</c:v>
                </c:pt>
                <c:pt idx="19">
                  <c:v>14.6</c:v>
                </c:pt>
                <c:pt idx="20">
                  <c:v>15.700000000000001</c:v>
                </c:pt>
                <c:pt idx="21">
                  <c:v>15.75</c:v>
                </c:pt>
                <c:pt idx="22">
                  <c:v>15.649999999999999</c:v>
                </c:pt>
                <c:pt idx="23">
                  <c:v>17.100000000000001</c:v>
                </c:pt>
                <c:pt idx="24">
                  <c:v>17.149999999999999</c:v>
                </c:pt>
                <c:pt idx="25">
                  <c:v>17.25</c:v>
                </c:pt>
                <c:pt idx="26">
                  <c:v>19.5</c:v>
                </c:pt>
                <c:pt idx="27">
                  <c:v>19.25</c:v>
                </c:pt>
                <c:pt idx="28">
                  <c:v>19.55</c:v>
                </c:pt>
                <c:pt idx="29">
                  <c:v>19.149999999999999</c:v>
                </c:pt>
                <c:pt idx="30">
                  <c:v>18.950000000000003</c:v>
                </c:pt>
                <c:pt idx="31">
                  <c:v>19.2</c:v>
                </c:pt>
                <c:pt idx="32">
                  <c:v>19.350000000000001</c:v>
                </c:pt>
                <c:pt idx="33">
                  <c:v>18.55</c:v>
                </c:pt>
                <c:pt idx="34">
                  <c:v>18.649999999999999</c:v>
                </c:pt>
                <c:pt idx="35">
                  <c:v>18.799999999999997</c:v>
                </c:pt>
                <c:pt idx="36">
                  <c:v>18.799999999999997</c:v>
                </c:pt>
                <c:pt idx="37">
                  <c:v>14.75</c:v>
                </c:pt>
                <c:pt idx="38">
                  <c:v>14.75</c:v>
                </c:pt>
                <c:pt idx="39">
                  <c:v>14.8</c:v>
                </c:pt>
                <c:pt idx="40">
                  <c:v>14.75</c:v>
                </c:pt>
                <c:pt idx="41">
                  <c:v>14.6</c:v>
                </c:pt>
                <c:pt idx="42">
                  <c:v>14.55</c:v>
                </c:pt>
                <c:pt idx="43">
                  <c:v>14.65</c:v>
                </c:pt>
                <c:pt idx="44">
                  <c:v>14.6</c:v>
                </c:pt>
                <c:pt idx="45">
                  <c:v>15.55</c:v>
                </c:pt>
                <c:pt idx="46">
                  <c:v>15.600000000000001</c:v>
                </c:pt>
                <c:pt idx="47">
                  <c:v>15.6</c:v>
                </c:pt>
                <c:pt idx="48">
                  <c:v>15.6</c:v>
                </c:pt>
                <c:pt idx="49">
                  <c:v>17</c:v>
                </c:pt>
                <c:pt idx="50">
                  <c:v>16.950000000000003</c:v>
                </c:pt>
                <c:pt idx="51">
                  <c:v>17.100000000000001</c:v>
                </c:pt>
                <c:pt idx="52">
                  <c:v>17.05</c:v>
                </c:pt>
                <c:pt idx="53">
                  <c:v>18.649999999999999</c:v>
                </c:pt>
                <c:pt idx="54">
                  <c:v>18.649999999999999</c:v>
                </c:pt>
                <c:pt idx="55">
                  <c:v>18.55</c:v>
                </c:pt>
                <c:pt idx="56">
                  <c:v>18.649999999999999</c:v>
                </c:pt>
                <c:pt idx="57">
                  <c:v>19.649999999999999</c:v>
                </c:pt>
                <c:pt idx="58">
                  <c:v>19.600000000000001</c:v>
                </c:pt>
                <c:pt idx="59">
                  <c:v>19.649999999999999</c:v>
                </c:pt>
                <c:pt idx="60">
                  <c:v>19.700000000000003</c:v>
                </c:pt>
                <c:pt idx="61">
                  <c:v>16.5</c:v>
                </c:pt>
                <c:pt idx="62">
                  <c:v>16.55</c:v>
                </c:pt>
                <c:pt idx="63">
                  <c:v>16.75</c:v>
                </c:pt>
                <c:pt idx="64">
                  <c:v>16.75</c:v>
                </c:pt>
                <c:pt idx="65">
                  <c:v>17.3</c:v>
                </c:pt>
                <c:pt idx="66">
                  <c:v>17.399999999999999</c:v>
                </c:pt>
                <c:pt idx="67">
                  <c:v>19.149999999999999</c:v>
                </c:pt>
                <c:pt idx="68">
                  <c:v>19.25</c:v>
                </c:pt>
                <c:pt idx="69">
                  <c:v>18.75</c:v>
                </c:pt>
                <c:pt idx="70">
                  <c:v>18.7</c:v>
                </c:pt>
              </c:numCache>
            </c:numRef>
          </c:xVal>
          <c:yVal>
            <c:numRef>
              <c:f>Full_data!$V$41:$V$111</c:f>
              <c:numCache>
                <c:formatCode>0.0000</c:formatCode>
                <c:ptCount val="71"/>
                <c:pt idx="0">
                  <c:v>7.3153092979127256E-3</c:v>
                </c:pt>
                <c:pt idx="1">
                  <c:v>7.4580175953079201E-3</c:v>
                </c:pt>
                <c:pt idx="2">
                  <c:v>9.1134535469107568E-3</c:v>
                </c:pt>
                <c:pt idx="3">
                  <c:v>6.0253997879109204E-3</c:v>
                </c:pt>
                <c:pt idx="4">
                  <c:v>7.1483294117646754E-3</c:v>
                </c:pt>
                <c:pt idx="5">
                  <c:v>8.4785454545454556E-3</c:v>
                </c:pt>
                <c:pt idx="6">
                  <c:v>7.9960286944045882E-3</c:v>
                </c:pt>
                <c:pt idx="7">
                  <c:v>7.6284878048780399E-3</c:v>
                </c:pt>
                <c:pt idx="8">
                  <c:v>7.1174004576659046E-3</c:v>
                </c:pt>
                <c:pt idx="9">
                  <c:v>6.6777497326203092E-3</c:v>
                </c:pt>
                <c:pt idx="10">
                  <c:v>1.0774770247933885E-2</c:v>
                </c:pt>
                <c:pt idx="11">
                  <c:v>5.4956065573770483E-3</c:v>
                </c:pt>
                <c:pt idx="12">
                  <c:v>4.4282648829431477E-3</c:v>
                </c:pt>
                <c:pt idx="13">
                  <c:v>1.0990151001540832E-2</c:v>
                </c:pt>
                <c:pt idx="14">
                  <c:v>8.9453510436432598E-3</c:v>
                </c:pt>
                <c:pt idx="15">
                  <c:v>1.1701372434017608E-2</c:v>
                </c:pt>
                <c:pt idx="16">
                  <c:v>8.3226457590876782E-3</c:v>
                </c:pt>
                <c:pt idx="17">
                  <c:v>3.9149065743944575E-3</c:v>
                </c:pt>
                <c:pt idx="18">
                  <c:v>9.045566433566422E-3</c:v>
                </c:pt>
                <c:pt idx="19">
                  <c:v>6.0018550724637611E-3</c:v>
                </c:pt>
                <c:pt idx="20">
                  <c:v>6.2079999999999922E-3</c:v>
                </c:pt>
                <c:pt idx="21">
                  <c:v>7.037333333333326E-3</c:v>
                </c:pt>
                <c:pt idx="22">
                  <c:v>6.7993043478261021E-3</c:v>
                </c:pt>
                <c:pt idx="23">
                  <c:v>6.9125524296675478E-3</c:v>
                </c:pt>
                <c:pt idx="24">
                  <c:v>6.1630328820116058E-3</c:v>
                </c:pt>
                <c:pt idx="25">
                  <c:v>6.9503999999999989E-3</c:v>
                </c:pt>
                <c:pt idx="26">
                  <c:v>1.192713472485772E-2</c:v>
                </c:pt>
                <c:pt idx="27">
                  <c:v>9.258228739002965E-3</c:v>
                </c:pt>
                <c:pt idx="28">
                  <c:v>6.8748521739130687E-3</c:v>
                </c:pt>
                <c:pt idx="29">
                  <c:v>6.8967619047619272E-3</c:v>
                </c:pt>
                <c:pt idx="30">
                  <c:v>9.8308571428571429E-3</c:v>
                </c:pt>
                <c:pt idx="31">
                  <c:v>6.9470151975684147E-3</c:v>
                </c:pt>
                <c:pt idx="32">
                  <c:v>9.9615584415584379E-3</c:v>
                </c:pt>
                <c:pt idx="33">
                  <c:v>7.2217600000000033E-3</c:v>
                </c:pt>
                <c:pt idx="34">
                  <c:v>8.1333551020408203E-3</c:v>
                </c:pt>
                <c:pt idx="35">
                  <c:v>6.8943523404255136E-3</c:v>
                </c:pt>
                <c:pt idx="36">
                  <c:v>8.3184872727273037E-3</c:v>
                </c:pt>
                <c:pt idx="37">
                  <c:v>6.7314285714285783E-3</c:v>
                </c:pt>
                <c:pt idx="38">
                  <c:v>8.1600000000000058E-3</c:v>
                </c:pt>
                <c:pt idx="39">
                  <c:v>7.7284578136463675E-3</c:v>
                </c:pt>
                <c:pt idx="40">
                  <c:v>1.0947611285266459E-2</c:v>
                </c:pt>
                <c:pt idx="41">
                  <c:v>6.4074830769230758E-3</c:v>
                </c:pt>
                <c:pt idx="42">
                  <c:v>5.7845106382978725E-3</c:v>
                </c:pt>
                <c:pt idx="43">
                  <c:v>9.3658181818181765E-3</c:v>
                </c:pt>
                <c:pt idx="44">
                  <c:v>5.2039344262295112E-3</c:v>
                </c:pt>
                <c:pt idx="45">
                  <c:v>5.8575238095238159E-3</c:v>
                </c:pt>
                <c:pt idx="46">
                  <c:v>5.2697806451612889E-3</c:v>
                </c:pt>
                <c:pt idx="47">
                  <c:v>7.3164255319149015E-3</c:v>
                </c:pt>
                <c:pt idx="48">
                  <c:v>5.2629482517482524E-3</c:v>
                </c:pt>
                <c:pt idx="49">
                  <c:v>6.3299047619047579E-3</c:v>
                </c:pt>
                <c:pt idx="50">
                  <c:v>9.4034285714285661E-3</c:v>
                </c:pt>
                <c:pt idx="51">
                  <c:v>8.3378797409805749E-3</c:v>
                </c:pt>
                <c:pt idx="52">
                  <c:v>6.5454545454545453E-3</c:v>
                </c:pt>
                <c:pt idx="53">
                  <c:v>8.1504864864864815E-3</c:v>
                </c:pt>
                <c:pt idx="54">
                  <c:v>1.0091935135135129E-2</c:v>
                </c:pt>
                <c:pt idx="55">
                  <c:v>7.5544367301231723E-3</c:v>
                </c:pt>
                <c:pt idx="56">
                  <c:v>9.520535885167462E-3</c:v>
                </c:pt>
                <c:pt idx="57">
                  <c:v>8.6855111111111133E-3</c:v>
                </c:pt>
                <c:pt idx="58">
                  <c:v>9.778110638297869E-3</c:v>
                </c:pt>
                <c:pt idx="59">
                  <c:v>8.4756786799826331E-3</c:v>
                </c:pt>
                <c:pt idx="60">
                  <c:v>8.2873469387754872E-3</c:v>
                </c:pt>
                <c:pt idx="61">
                  <c:v>6.9284833068362422E-3</c:v>
                </c:pt>
                <c:pt idx="62">
                  <c:v>6.8520452830188663E-3</c:v>
                </c:pt>
                <c:pt idx="63">
                  <c:v>7.820940336562986E-3</c:v>
                </c:pt>
                <c:pt idx="64">
                  <c:v>7.8665890909090964E-3</c:v>
                </c:pt>
                <c:pt idx="65">
                  <c:v>8.1375135135135206E-3</c:v>
                </c:pt>
                <c:pt idx="66">
                  <c:v>7.5822545454545514E-3</c:v>
                </c:pt>
                <c:pt idx="67">
                  <c:v>8.8815021337126671E-3</c:v>
                </c:pt>
                <c:pt idx="68">
                  <c:v>7.7969230769230763E-3</c:v>
                </c:pt>
                <c:pt idx="69">
                  <c:v>7.4424092664092684E-3</c:v>
                </c:pt>
                <c:pt idx="70">
                  <c:v>7.8703058823529209E-3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8C-4580-B6C6-E96D2E425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493199"/>
        <c:axId val="903496527"/>
      </c:scatterChart>
      <c:valAx>
        <c:axId val="90349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(deg 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96527"/>
        <c:crosses val="autoZero"/>
        <c:crossBetween val="midCat"/>
      </c:valAx>
      <c:valAx>
        <c:axId val="90349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Respiration (g/g 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93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Whitespotted</a:t>
            </a:r>
            <a:r>
              <a:rPr lang="en-US" baseline="0"/>
              <a:t> char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Full_data!$V$1</c:f>
              <c:strCache>
                <c:ptCount val="1"/>
                <c:pt idx="0">
                  <c:v>Respiration_g_g_day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12043613298337708"/>
                  <c:y val="-9.50907699037620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Full_data!$U$112:$U$127</c:f>
              <c:numCache>
                <c:formatCode>0.0</c:formatCode>
                <c:ptCount val="16"/>
                <c:pt idx="0">
                  <c:v>10.7</c:v>
                </c:pt>
                <c:pt idx="1">
                  <c:v>11.65</c:v>
                </c:pt>
                <c:pt idx="2">
                  <c:v>13.25</c:v>
                </c:pt>
                <c:pt idx="3">
                  <c:v>16.05</c:v>
                </c:pt>
                <c:pt idx="4">
                  <c:v>18.049999999999997</c:v>
                </c:pt>
                <c:pt idx="5">
                  <c:v>19.350000000000001</c:v>
                </c:pt>
                <c:pt idx="6">
                  <c:v>19.45</c:v>
                </c:pt>
                <c:pt idx="7">
                  <c:v>14.8</c:v>
                </c:pt>
                <c:pt idx="8">
                  <c:v>15.55</c:v>
                </c:pt>
                <c:pt idx="9">
                  <c:v>15.5</c:v>
                </c:pt>
                <c:pt idx="10">
                  <c:v>15.950000000000001</c:v>
                </c:pt>
                <c:pt idx="11">
                  <c:v>16.600000000000001</c:v>
                </c:pt>
                <c:pt idx="12">
                  <c:v>16.649999999999999</c:v>
                </c:pt>
                <c:pt idx="13">
                  <c:v>17.549999999999997</c:v>
                </c:pt>
                <c:pt idx="14">
                  <c:v>18.850000000000001</c:v>
                </c:pt>
                <c:pt idx="15">
                  <c:v>18.649999999999999</c:v>
                </c:pt>
              </c:numCache>
            </c:numRef>
          </c:xVal>
          <c:yVal>
            <c:numRef>
              <c:f>Full_data!$V$112:$V$127</c:f>
              <c:numCache>
                <c:formatCode>0.0000</c:formatCode>
                <c:ptCount val="16"/>
                <c:pt idx="0">
                  <c:v>2.1540893888719959E-3</c:v>
                </c:pt>
                <c:pt idx="1">
                  <c:v>2.6541458541458523E-3</c:v>
                </c:pt>
                <c:pt idx="2">
                  <c:v>2.7411670296916164E-3</c:v>
                </c:pt>
                <c:pt idx="3">
                  <c:v>4.6043660687138926E-3</c:v>
                </c:pt>
                <c:pt idx="4">
                  <c:v>3.7158041958041945E-3</c:v>
                </c:pt>
                <c:pt idx="5">
                  <c:v>5.5737062937063148E-3</c:v>
                </c:pt>
                <c:pt idx="6">
                  <c:v>4.9262555626191995E-3</c:v>
                </c:pt>
                <c:pt idx="7">
                  <c:v>4.2723281250000023E-3</c:v>
                </c:pt>
                <c:pt idx="8">
                  <c:v>3.3942770831585146E-3</c:v>
                </c:pt>
                <c:pt idx="9">
                  <c:v>4.7151933962264192E-3</c:v>
                </c:pt>
                <c:pt idx="10">
                  <c:v>3.2661911554921512E-3</c:v>
                </c:pt>
                <c:pt idx="11">
                  <c:v>4.7420048076923021E-3</c:v>
                </c:pt>
                <c:pt idx="12">
                  <c:v>4.0199275759903435E-3</c:v>
                </c:pt>
                <c:pt idx="13">
                  <c:v>3.6487180475768162E-3</c:v>
                </c:pt>
                <c:pt idx="14">
                  <c:v>6.6745588235293928E-3</c:v>
                </c:pt>
                <c:pt idx="15">
                  <c:v>3.8323309557774621E-3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4-4750-B2AB-0AE3E6469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493199"/>
        <c:axId val="903496527"/>
      </c:scatterChart>
      <c:valAx>
        <c:axId val="90349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(deg 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96527"/>
        <c:crosses val="autoZero"/>
        <c:crossBetween val="midCat"/>
      </c:valAx>
      <c:valAx>
        <c:axId val="90349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Respiration (g/g 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493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777875</xdr:colOff>
      <xdr:row>2</xdr:row>
      <xdr:rowOff>107956</xdr:rowOff>
    </xdr:from>
    <xdr:to>
      <xdr:col>15</xdr:col>
      <xdr:colOff>676275</xdr:colOff>
      <xdr:row>17</xdr:row>
      <xdr:rowOff>41281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107950</xdr:colOff>
      <xdr:row>2</xdr:row>
      <xdr:rowOff>107950</xdr:rowOff>
    </xdr:from>
    <xdr:to>
      <xdr:col>22</xdr:col>
      <xdr:colOff>330200</xdr:colOff>
      <xdr:row>17</xdr:row>
      <xdr:rowOff>41275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3</xdr:row>
      <xdr:rowOff>0</xdr:rowOff>
    </xdr:from>
    <xdr:to>
      <xdr:col>30</xdr:col>
      <xdr:colOff>304800</xdr:colOff>
      <xdr:row>17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7"/>
  <sheetViews>
    <sheetView tabSelected="1" topLeftCell="H1" workbookViewId="0">
      <pane ySplit="1" topLeftCell="A2" activePane="bottomLeft" state="frozen"/>
      <selection pane="bottomLeft" activeCell="V3" sqref="V3"/>
    </sheetView>
  </sheetViews>
  <sheetFormatPr defaultRowHeight="14.4" x14ac:dyDescent="0.3"/>
  <cols>
    <col min="10" max="10" width="14.6640625" bestFit="1" customWidth="1"/>
    <col min="15" max="15" width="17.33203125" bestFit="1" customWidth="1"/>
    <col min="16" max="16" width="12.44140625" bestFit="1" customWidth="1"/>
    <col min="17" max="17" width="12.44140625" customWidth="1"/>
    <col min="19" max="20" width="13.44140625" customWidth="1"/>
    <col min="22" max="22" width="17.77734375" bestFit="1" customWidth="1"/>
  </cols>
  <sheetData>
    <row r="1" spans="1:51" x14ac:dyDescent="0.3">
      <c r="A1" t="s">
        <v>14</v>
      </c>
      <c r="B1" t="s">
        <v>7</v>
      </c>
      <c r="C1" t="s">
        <v>4</v>
      </c>
      <c r="D1" t="s">
        <v>0</v>
      </c>
      <c r="E1" t="s">
        <v>9</v>
      </c>
      <c r="F1" t="s">
        <v>10</v>
      </c>
      <c r="G1" t="s">
        <v>11</v>
      </c>
      <c r="H1" t="s">
        <v>12</v>
      </c>
      <c r="I1" t="s">
        <v>8</v>
      </c>
      <c r="J1" t="s">
        <v>1</v>
      </c>
      <c r="K1" t="s">
        <v>2</v>
      </c>
      <c r="L1" t="s">
        <v>3</v>
      </c>
      <c r="M1" t="s">
        <v>5</v>
      </c>
      <c r="N1" t="s">
        <v>6</v>
      </c>
      <c r="O1" t="s">
        <v>40</v>
      </c>
      <c r="P1" t="s">
        <v>39</v>
      </c>
      <c r="Q1" t="s">
        <v>74</v>
      </c>
      <c r="R1" t="s">
        <v>41</v>
      </c>
      <c r="S1" t="s">
        <v>42</v>
      </c>
      <c r="T1" t="s">
        <v>43</v>
      </c>
      <c r="U1" t="s">
        <v>13</v>
      </c>
      <c r="V1" t="s">
        <v>43</v>
      </c>
    </row>
    <row r="2" spans="1:51" x14ac:dyDescent="0.3">
      <c r="A2" s="1">
        <v>45048</v>
      </c>
      <c r="B2" s="2">
        <v>0.25347222222222221</v>
      </c>
      <c r="C2">
        <v>6</v>
      </c>
      <c r="D2" t="s">
        <v>22</v>
      </c>
      <c r="E2">
        <v>9.5500000000000007</v>
      </c>
      <c r="F2">
        <v>8.33</v>
      </c>
      <c r="G2" s="3">
        <v>9.8000000000000007</v>
      </c>
      <c r="H2" s="3">
        <v>10.1</v>
      </c>
      <c r="I2" s="2">
        <v>0.29583333333333334</v>
      </c>
      <c r="J2" t="e">
        <f>VLOOKUP(D2,Fish_Container_info!$A$2:$E$20,4)</f>
        <v>#N/A</v>
      </c>
      <c r="K2" t="e">
        <f>VLOOKUP(D2,Fish_Container_info!$A$2:$D$20,2)</f>
        <v>#N/A</v>
      </c>
      <c r="L2" t="e">
        <f>VLOOKUP(D2,Fish_Container_info!$A$2:$D$20,3)</f>
        <v>#N/A</v>
      </c>
      <c r="M2">
        <f>VLOOKUP(C2,Fish_Container_info!$G$2:$H$45,2)</f>
        <v>2340</v>
      </c>
      <c r="N2">
        <v>1</v>
      </c>
      <c r="O2" s="2">
        <f>I2-B2</f>
        <v>4.2361111111111127E-2</v>
      </c>
      <c r="P2" s="5">
        <f t="shared" ref="P2:P33" si="0">VALUE(O2*24*60)/(24*60)</f>
        <v>4.2361111111111127E-2</v>
      </c>
      <c r="Q2" s="5">
        <f>H2-G2</f>
        <v>0.29999999999999893</v>
      </c>
      <c r="R2" s="4">
        <f>E2-F2</f>
        <v>1.2200000000000006</v>
      </c>
      <c r="S2" s="5">
        <f t="shared" ref="S2:S33" si="1">R2*(M2/1000)/1000</f>
        <v>2.8548000000000015E-3</v>
      </c>
      <c r="T2" s="5" t="e">
        <f t="shared" ref="T2:T33" si="2">(S2/L2)/P2</f>
        <v>#N/A</v>
      </c>
      <c r="U2" s="3">
        <f>AVERAGE(G2:H2)</f>
        <v>9.9499999999999993</v>
      </c>
      <c r="V2" s="5">
        <v>2.6637154150197634E-3</v>
      </c>
      <c r="AH2" t="s">
        <v>45</v>
      </c>
      <c r="AI2" t="s">
        <v>44</v>
      </c>
      <c r="AJ2" t="s">
        <v>46</v>
      </c>
      <c r="AK2" t="s">
        <v>47</v>
      </c>
      <c r="AL2" t="s">
        <v>48</v>
      </c>
      <c r="AM2" t="s">
        <v>44</v>
      </c>
      <c r="AN2" t="s">
        <v>46</v>
      </c>
      <c r="AO2" t="s">
        <v>47</v>
      </c>
      <c r="AP2" t="s">
        <v>48</v>
      </c>
      <c r="AR2" t="s">
        <v>49</v>
      </c>
      <c r="AS2" t="s">
        <v>50</v>
      </c>
      <c r="AT2" t="s">
        <v>51</v>
      </c>
      <c r="AU2" t="s">
        <v>0</v>
      </c>
      <c r="AV2" t="s">
        <v>1</v>
      </c>
      <c r="AW2" t="s">
        <v>52</v>
      </c>
      <c r="AX2" t="s">
        <v>53</v>
      </c>
      <c r="AY2" t="s">
        <v>54</v>
      </c>
    </row>
    <row r="3" spans="1:51" x14ac:dyDescent="0.3">
      <c r="A3" s="1">
        <v>45048</v>
      </c>
      <c r="B3" s="2">
        <v>0.25486111111111109</v>
      </c>
      <c r="C3">
        <v>7</v>
      </c>
      <c r="D3" t="s">
        <v>23</v>
      </c>
      <c r="E3">
        <v>10.17</v>
      </c>
      <c r="F3">
        <v>8.98</v>
      </c>
      <c r="G3" s="3">
        <v>9.5</v>
      </c>
      <c r="H3" s="3">
        <v>9.6999999999999993</v>
      </c>
      <c r="I3" s="2">
        <v>0.29930555555555555</v>
      </c>
      <c r="J3" t="e">
        <f>VLOOKUP(D3,Fish_Container_info!$A$2:$E$20,4)</f>
        <v>#N/A</v>
      </c>
      <c r="K3" t="e">
        <f>VLOOKUP(D3,Fish_Container_info!$A$2:$D$20,2)</f>
        <v>#N/A</v>
      </c>
      <c r="L3" t="e">
        <f>VLOOKUP(D3,Fish_Container_info!$A$2:$D$20,3)</f>
        <v>#N/A</v>
      </c>
      <c r="M3">
        <f>VLOOKUP(C3,Fish_Container_info!$G$2:$H$45,2)</f>
        <v>2340</v>
      </c>
      <c r="N3">
        <v>1</v>
      </c>
      <c r="O3" s="2">
        <f>I3-B3</f>
        <v>4.4444444444444453E-2</v>
      </c>
      <c r="P3" s="5">
        <f t="shared" si="0"/>
        <v>4.4444444444444453E-2</v>
      </c>
      <c r="Q3" s="5">
        <f t="shared" ref="Q3:Q66" si="3">H3-G3</f>
        <v>0.19999999999999929</v>
      </c>
      <c r="R3" s="4">
        <f>E3-F3</f>
        <v>1.1899999999999995</v>
      </c>
      <c r="S3" s="5">
        <f t="shared" si="1"/>
        <v>2.7845999999999991E-3</v>
      </c>
      <c r="T3" s="5" t="e">
        <f t="shared" si="2"/>
        <v>#N/A</v>
      </c>
      <c r="U3" s="3">
        <f>AVERAGE(G3:H3)</f>
        <v>9.6</v>
      </c>
      <c r="V3" s="5">
        <v>2.4005172413793089E-3</v>
      </c>
      <c r="AH3">
        <v>6.0000000000000001E-3</v>
      </c>
      <c r="AI3">
        <f>AH3/24</f>
        <v>2.5000000000000001E-4</v>
      </c>
      <c r="AJ3">
        <f>AI3*1000</f>
        <v>0.25</v>
      </c>
      <c r="AK3">
        <f>AJ3*1000</f>
        <v>250</v>
      </c>
      <c r="AL3">
        <f>AK3/60</f>
        <v>4.166666666666667</v>
      </c>
      <c r="AM3">
        <f>AT3/24</f>
        <v>1.10988125E-4</v>
      </c>
      <c r="AN3">
        <f>AM3*1000</f>
        <v>0.11098812500000001</v>
      </c>
      <c r="AO3">
        <f>AN3*1000</f>
        <v>110.98812500000001</v>
      </c>
      <c r="AP3">
        <f>AO3/60</f>
        <v>1.8498020833333335</v>
      </c>
      <c r="AR3">
        <v>10</v>
      </c>
      <c r="AS3">
        <v>9.9499999999999993</v>
      </c>
      <c r="AT3">
        <v>2.6637150000000001E-3</v>
      </c>
      <c r="AU3" t="s">
        <v>55</v>
      </c>
      <c r="AV3" t="s">
        <v>56</v>
      </c>
      <c r="AW3" t="s">
        <v>57</v>
      </c>
      <c r="AX3">
        <v>1</v>
      </c>
      <c r="AY3" t="s">
        <v>58</v>
      </c>
    </row>
    <row r="4" spans="1:51" x14ac:dyDescent="0.3">
      <c r="A4" s="1">
        <v>45048</v>
      </c>
      <c r="B4" s="2">
        <v>0.33263888888888887</v>
      </c>
      <c r="C4">
        <v>6</v>
      </c>
      <c r="D4" t="s">
        <v>22</v>
      </c>
      <c r="E4">
        <v>9.3000000000000007</v>
      </c>
      <c r="F4">
        <v>7.78</v>
      </c>
      <c r="G4" s="3">
        <v>10.4</v>
      </c>
      <c r="H4" s="3">
        <v>10.8</v>
      </c>
      <c r="I4" s="2">
        <v>0.3756944444444445</v>
      </c>
      <c r="J4" t="e">
        <f>VLOOKUP(D4,Fish_Container_info!$A$2:$E$20,4)</f>
        <v>#N/A</v>
      </c>
      <c r="K4" t="e">
        <f>VLOOKUP(D4,Fish_Container_info!$A$2:$D$20,2)</f>
        <v>#N/A</v>
      </c>
      <c r="L4" t="e">
        <f>VLOOKUP(D4,Fish_Container_info!$A$2:$D$20,3)</f>
        <v>#N/A</v>
      </c>
      <c r="M4">
        <f>VLOOKUP(C4,Fish_Container_info!$G$2:$H$45,2)</f>
        <v>2340</v>
      </c>
      <c r="N4">
        <v>2</v>
      </c>
      <c r="O4" s="2">
        <f>I4-B4</f>
        <v>4.3055555555555625E-2</v>
      </c>
      <c r="P4" s="5">
        <f t="shared" si="0"/>
        <v>4.3055555555555625E-2</v>
      </c>
      <c r="Q4" s="5">
        <f t="shared" si="3"/>
        <v>0.40000000000000036</v>
      </c>
      <c r="R4" s="4">
        <f>E4-F4</f>
        <v>1.5200000000000005</v>
      </c>
      <c r="S4" s="5">
        <f t="shared" si="1"/>
        <v>3.556800000000001E-3</v>
      </c>
      <c r="T4" s="5" t="e">
        <f t="shared" si="2"/>
        <v>#N/A</v>
      </c>
      <c r="U4" s="3">
        <f>AVERAGE(G4:H4)</f>
        <v>10.600000000000001</v>
      </c>
      <c r="V4" s="5">
        <v>3.2651995409919629E-3</v>
      </c>
      <c r="AM4">
        <f t="shared" ref="AM4:AM67" si="4">AT4/24</f>
        <v>1.0002154166666666E-4</v>
      </c>
      <c r="AN4">
        <f t="shared" ref="AN4:AO4" si="5">AM4*1000</f>
        <v>0.10002154166666666</v>
      </c>
      <c r="AO4">
        <f t="shared" si="5"/>
        <v>100.02154166666666</v>
      </c>
      <c r="AP4">
        <f t="shared" ref="AP4:AP67" si="6">AO4/60</f>
        <v>1.6670256944444444</v>
      </c>
      <c r="AR4">
        <v>10</v>
      </c>
      <c r="AS4">
        <v>9.6</v>
      </c>
      <c r="AT4">
        <v>2.400517E-3</v>
      </c>
      <c r="AU4" t="s">
        <v>59</v>
      </c>
      <c r="AV4" t="s">
        <v>56</v>
      </c>
      <c r="AW4" t="s">
        <v>57</v>
      </c>
      <c r="AX4">
        <v>1</v>
      </c>
      <c r="AY4" t="s">
        <v>58</v>
      </c>
    </row>
    <row r="5" spans="1:51" x14ac:dyDescent="0.3">
      <c r="A5" s="1">
        <v>45048</v>
      </c>
      <c r="B5" s="2">
        <v>0.3354166666666667</v>
      </c>
      <c r="C5">
        <v>7</v>
      </c>
      <c r="D5" t="s">
        <v>23</v>
      </c>
      <c r="E5">
        <v>8.9600000000000009</v>
      </c>
      <c r="F5">
        <v>7.71</v>
      </c>
      <c r="G5" s="3">
        <v>10</v>
      </c>
      <c r="H5" s="3">
        <v>10.4</v>
      </c>
      <c r="I5" s="2">
        <v>0.38194444444444442</v>
      </c>
      <c r="J5" t="e">
        <f>VLOOKUP(D5,Fish_Container_info!$A$2:$E$20,4)</f>
        <v>#N/A</v>
      </c>
      <c r="K5" t="e">
        <f>VLOOKUP(D5,Fish_Container_info!$A$2:$D$20,2)</f>
        <v>#N/A</v>
      </c>
      <c r="L5" t="e">
        <f>VLOOKUP(D5,Fish_Container_info!$A$2:$D$20,3)</f>
        <v>#N/A</v>
      </c>
      <c r="M5">
        <f>VLOOKUP(C5,Fish_Container_info!$G$2:$H$45,2)</f>
        <v>2340</v>
      </c>
      <c r="N5">
        <v>2</v>
      </c>
      <c r="O5" s="2">
        <f>I5-B5</f>
        <v>4.6527777777777724E-2</v>
      </c>
      <c r="P5" s="5">
        <f t="shared" si="0"/>
        <v>4.6527777777777717E-2</v>
      </c>
      <c r="Q5" s="5">
        <f t="shared" si="3"/>
        <v>0.40000000000000036</v>
      </c>
      <c r="R5" s="4">
        <f>E5-F5</f>
        <v>1.2500000000000009</v>
      </c>
      <c r="S5" s="5">
        <f t="shared" si="1"/>
        <v>2.9250000000000023E-3</v>
      </c>
      <c r="T5" s="5" t="e">
        <f t="shared" si="2"/>
        <v>#N/A</v>
      </c>
      <c r="U5" s="3">
        <f>AVERAGE(G5:H5)</f>
        <v>10.199999999999999</v>
      </c>
      <c r="V5" s="5">
        <v>2.4086464230571331E-3</v>
      </c>
      <c r="AM5">
        <f t="shared" si="4"/>
        <v>1.3605E-4</v>
      </c>
      <c r="AN5">
        <f t="shared" ref="AN5:AO5" si="7">AM5*1000</f>
        <v>0.13605</v>
      </c>
      <c r="AO5">
        <f t="shared" si="7"/>
        <v>136.05000000000001</v>
      </c>
      <c r="AP5">
        <f t="shared" si="6"/>
        <v>2.2675000000000001</v>
      </c>
      <c r="AR5">
        <v>11</v>
      </c>
      <c r="AS5">
        <v>10.6</v>
      </c>
      <c r="AT5">
        <v>3.2651999999999998E-3</v>
      </c>
      <c r="AU5" t="s">
        <v>55</v>
      </c>
      <c r="AV5" t="s">
        <v>56</v>
      </c>
      <c r="AW5" t="s">
        <v>57</v>
      </c>
      <c r="AX5">
        <v>2</v>
      </c>
      <c r="AY5" t="s">
        <v>58</v>
      </c>
    </row>
    <row r="6" spans="1:51" x14ac:dyDescent="0.3">
      <c r="A6" s="1">
        <v>45048</v>
      </c>
      <c r="B6" s="2">
        <v>0.4055555555555555</v>
      </c>
      <c r="C6">
        <v>6</v>
      </c>
      <c r="D6" t="s">
        <v>22</v>
      </c>
      <c r="E6">
        <v>9.17</v>
      </c>
      <c r="F6">
        <v>7.8</v>
      </c>
      <c r="G6" s="3">
        <v>11.3</v>
      </c>
      <c r="H6" s="3">
        <v>12.2</v>
      </c>
      <c r="I6" s="2">
        <v>0.44375000000000003</v>
      </c>
      <c r="J6" t="e">
        <f>VLOOKUP(D6,Fish_Container_info!$A$2:$E$20,4)</f>
        <v>#N/A</v>
      </c>
      <c r="K6" t="e">
        <f>VLOOKUP(D6,Fish_Container_info!$A$2:$D$20,2)</f>
        <v>#N/A</v>
      </c>
      <c r="L6" t="e">
        <f>VLOOKUP(D6,Fish_Container_info!$A$2:$D$20,3)</f>
        <v>#N/A</v>
      </c>
      <c r="M6">
        <f>VLOOKUP(C6,Fish_Container_info!$G$2:$H$45,2)</f>
        <v>2340</v>
      </c>
      <c r="N6">
        <v>3</v>
      </c>
      <c r="O6" s="2">
        <f>I6-B6</f>
        <v>3.8194444444444531E-2</v>
      </c>
      <c r="P6" s="5">
        <f t="shared" si="0"/>
        <v>3.8194444444444531E-2</v>
      </c>
      <c r="Q6" s="5">
        <f t="shared" si="3"/>
        <v>0.89999999999999858</v>
      </c>
      <c r="R6" s="4">
        <f>E6-F6</f>
        <v>1.37</v>
      </c>
      <c r="S6" s="5">
        <f t="shared" si="1"/>
        <v>3.2058E-3</v>
      </c>
      <c r="T6" s="5" t="e">
        <f t="shared" si="2"/>
        <v>#N/A</v>
      </c>
      <c r="U6" s="3">
        <f>AVERAGE(G6:H6)</f>
        <v>11.75</v>
      </c>
      <c r="V6" s="5">
        <v>3.317536471433697E-3</v>
      </c>
      <c r="AM6">
        <f t="shared" si="4"/>
        <v>1.0036025E-4</v>
      </c>
      <c r="AN6">
        <f t="shared" ref="AN6:AO6" si="8">AM6*1000</f>
        <v>0.10036025</v>
      </c>
      <c r="AO6">
        <f t="shared" si="8"/>
        <v>100.36024999999999</v>
      </c>
      <c r="AP6">
        <f t="shared" si="6"/>
        <v>1.6726708333333333</v>
      </c>
      <c r="AR6">
        <v>10</v>
      </c>
      <c r="AS6">
        <v>10.199999999999999</v>
      </c>
      <c r="AT6">
        <v>2.408646E-3</v>
      </c>
      <c r="AU6" t="s">
        <v>59</v>
      </c>
      <c r="AV6" t="s">
        <v>56</v>
      </c>
      <c r="AW6" t="s">
        <v>57</v>
      </c>
      <c r="AX6">
        <v>2</v>
      </c>
      <c r="AY6" t="s">
        <v>58</v>
      </c>
    </row>
    <row r="7" spans="1:51" x14ac:dyDescent="0.3">
      <c r="A7" s="1">
        <v>45048</v>
      </c>
      <c r="B7" s="2">
        <v>0.40902777777777777</v>
      </c>
      <c r="C7">
        <v>7</v>
      </c>
      <c r="D7" t="s">
        <v>23</v>
      </c>
      <c r="E7">
        <v>7.08</v>
      </c>
      <c r="F7">
        <v>5.8</v>
      </c>
      <c r="G7" s="3">
        <v>10.9</v>
      </c>
      <c r="H7" s="3">
        <v>11.9</v>
      </c>
      <c r="I7" s="2">
        <v>0.44722222222222219</v>
      </c>
      <c r="J7" t="e">
        <f>VLOOKUP(D7,Fish_Container_info!$A$2:$E$20,4)</f>
        <v>#N/A</v>
      </c>
      <c r="K7" t="e">
        <f>VLOOKUP(D7,Fish_Container_info!$A$2:$D$20,2)</f>
        <v>#N/A</v>
      </c>
      <c r="L7" t="e">
        <f>VLOOKUP(D7,Fish_Container_info!$A$2:$D$20,3)</f>
        <v>#N/A</v>
      </c>
      <c r="M7">
        <f>VLOOKUP(C7,Fish_Container_info!$G$2:$H$45,2)</f>
        <v>2340</v>
      </c>
      <c r="N7">
        <v>3</v>
      </c>
      <c r="O7" s="2">
        <f>I7-B7</f>
        <v>3.819444444444442E-2</v>
      </c>
      <c r="P7" s="5">
        <f t="shared" si="0"/>
        <v>3.819444444444442E-2</v>
      </c>
      <c r="Q7" s="5">
        <f t="shared" si="3"/>
        <v>1</v>
      </c>
      <c r="R7" s="4">
        <f>E7-F7</f>
        <v>1.2800000000000002</v>
      </c>
      <c r="S7" s="5">
        <f t="shared" si="1"/>
        <v>2.9952000000000004E-3</v>
      </c>
      <c r="T7" s="5" t="e">
        <f t="shared" si="2"/>
        <v>#N/A</v>
      </c>
      <c r="U7" s="3">
        <f>AVERAGE(G7:H7)</f>
        <v>11.4</v>
      </c>
      <c r="V7" s="5">
        <v>3.0045893416927919E-3</v>
      </c>
      <c r="AM7">
        <f t="shared" si="4"/>
        <v>1.3823066666666665E-4</v>
      </c>
      <c r="AN7">
        <f t="shared" ref="AN7:AO7" si="9">AM7*1000</f>
        <v>0.13823066666666664</v>
      </c>
      <c r="AO7">
        <f t="shared" si="9"/>
        <v>138.23066666666665</v>
      </c>
      <c r="AP7">
        <f t="shared" si="6"/>
        <v>2.3038444444444441</v>
      </c>
      <c r="AR7">
        <v>12</v>
      </c>
      <c r="AS7">
        <v>11.75</v>
      </c>
      <c r="AT7">
        <v>3.3175359999999998E-3</v>
      </c>
      <c r="AU7" t="s">
        <v>55</v>
      </c>
      <c r="AV7" t="s">
        <v>56</v>
      </c>
      <c r="AW7" t="s">
        <v>57</v>
      </c>
      <c r="AX7">
        <v>3</v>
      </c>
      <c r="AY7" t="s">
        <v>58</v>
      </c>
    </row>
    <row r="8" spans="1:51" x14ac:dyDescent="0.3">
      <c r="A8" s="1">
        <v>45048</v>
      </c>
      <c r="B8" s="2">
        <v>0.47500000000000003</v>
      </c>
      <c r="C8">
        <v>6</v>
      </c>
      <c r="D8" t="s">
        <v>22</v>
      </c>
      <c r="E8">
        <v>8.4</v>
      </c>
      <c r="F8">
        <v>6.62</v>
      </c>
      <c r="G8" s="3">
        <v>13</v>
      </c>
      <c r="H8" s="3">
        <v>14.3</v>
      </c>
      <c r="I8" s="2">
        <v>0.51736111111111105</v>
      </c>
      <c r="J8" t="e">
        <f>VLOOKUP(D8,Fish_Container_info!$A$2:$E$20,4)</f>
        <v>#N/A</v>
      </c>
      <c r="K8" t="e">
        <f>VLOOKUP(D8,Fish_Container_info!$A$2:$D$20,2)</f>
        <v>#N/A</v>
      </c>
      <c r="L8" t="e">
        <f>VLOOKUP(D8,Fish_Container_info!$A$2:$D$20,3)</f>
        <v>#N/A</v>
      </c>
      <c r="M8">
        <f>VLOOKUP(C8,Fish_Container_info!$G$2:$H$45,2)</f>
        <v>2340</v>
      </c>
      <c r="N8">
        <v>4</v>
      </c>
      <c r="O8" s="2">
        <f>I8-B8</f>
        <v>4.2361111111111016E-2</v>
      </c>
      <c r="P8" s="5">
        <f t="shared" si="0"/>
        <v>4.2361111111111016E-2</v>
      </c>
      <c r="Q8" s="5">
        <f t="shared" si="3"/>
        <v>1.3000000000000007</v>
      </c>
      <c r="R8" s="4">
        <f>E8-F8</f>
        <v>1.7800000000000002</v>
      </c>
      <c r="S8" s="5">
        <f t="shared" si="1"/>
        <v>4.1652000000000008E-3</v>
      </c>
      <c r="T8" s="5" t="e">
        <f t="shared" si="2"/>
        <v>#N/A</v>
      </c>
      <c r="U8" s="3">
        <f>AVERAGE(G8:H8)</f>
        <v>13.65</v>
      </c>
      <c r="V8" s="5">
        <v>3.8864044579796637E-3</v>
      </c>
      <c r="AM8">
        <f t="shared" si="4"/>
        <v>1.2519120833333333E-4</v>
      </c>
      <c r="AN8">
        <f t="shared" ref="AN8:AO8" si="10">AM8*1000</f>
        <v>0.12519120833333333</v>
      </c>
      <c r="AO8">
        <f t="shared" si="10"/>
        <v>125.19120833333334</v>
      </c>
      <c r="AP8">
        <f t="shared" si="6"/>
        <v>2.086520138888889</v>
      </c>
      <c r="AR8">
        <v>11</v>
      </c>
      <c r="AS8">
        <v>11.4</v>
      </c>
      <c r="AT8">
        <v>3.0045889999999998E-3</v>
      </c>
      <c r="AU8" t="s">
        <v>59</v>
      </c>
      <c r="AV8" t="s">
        <v>56</v>
      </c>
      <c r="AW8" t="s">
        <v>57</v>
      </c>
      <c r="AX8">
        <v>3</v>
      </c>
      <c r="AY8" t="s">
        <v>58</v>
      </c>
    </row>
    <row r="9" spans="1:51" x14ac:dyDescent="0.3">
      <c r="A9" s="1">
        <v>45048</v>
      </c>
      <c r="B9" s="2">
        <v>0.4777777777777778</v>
      </c>
      <c r="C9">
        <v>7</v>
      </c>
      <c r="D9" t="s">
        <v>23</v>
      </c>
      <c r="E9">
        <v>6.78</v>
      </c>
      <c r="F9">
        <v>5.23</v>
      </c>
      <c r="G9" s="3">
        <v>12.8</v>
      </c>
      <c r="H9" s="3">
        <v>14.4</v>
      </c>
      <c r="I9" s="2">
        <v>0.52013888888888882</v>
      </c>
      <c r="J9" t="e">
        <f>VLOOKUP(D9,Fish_Container_info!$A$2:$E$20,4)</f>
        <v>#N/A</v>
      </c>
      <c r="K9" t="e">
        <f>VLOOKUP(D9,Fish_Container_info!$A$2:$D$20,2)</f>
        <v>#N/A</v>
      </c>
      <c r="L9" t="e">
        <f>VLOOKUP(D9,Fish_Container_info!$A$2:$D$20,3)</f>
        <v>#N/A</v>
      </c>
      <c r="M9">
        <f>VLOOKUP(C9,Fish_Container_info!$G$2:$H$45,2)</f>
        <v>2340</v>
      </c>
      <c r="N9">
        <v>4</v>
      </c>
      <c r="O9" s="2">
        <f>I9-B9</f>
        <v>4.2361111111111016E-2</v>
      </c>
      <c r="P9" s="5">
        <f t="shared" si="0"/>
        <v>4.2361111111111016E-2</v>
      </c>
      <c r="Q9" s="5">
        <f t="shared" si="3"/>
        <v>1.5999999999999996</v>
      </c>
      <c r="R9" s="4">
        <f>E9-F9</f>
        <v>1.5499999999999998</v>
      </c>
      <c r="S9" s="5">
        <f t="shared" si="1"/>
        <v>3.6269999999999991E-3</v>
      </c>
      <c r="T9" s="5" t="e">
        <f t="shared" si="2"/>
        <v>#N/A</v>
      </c>
      <c r="U9" s="3">
        <f>AVERAGE(G9:H9)</f>
        <v>13.600000000000001</v>
      </c>
      <c r="V9" s="5">
        <v>3.2804974561899442E-3</v>
      </c>
      <c r="AM9">
        <f t="shared" si="4"/>
        <v>1.6193349999999999E-4</v>
      </c>
      <c r="AN9">
        <f t="shared" ref="AN9:AO9" si="11">AM9*1000</f>
        <v>0.16193349999999998</v>
      </c>
      <c r="AO9">
        <f t="shared" si="11"/>
        <v>161.93349999999998</v>
      </c>
      <c r="AP9">
        <f t="shared" si="6"/>
        <v>2.6988916666666665</v>
      </c>
      <c r="AR9">
        <v>14</v>
      </c>
      <c r="AS9">
        <v>13.65</v>
      </c>
      <c r="AT9">
        <v>3.886404E-3</v>
      </c>
      <c r="AU9" t="s">
        <v>55</v>
      </c>
      <c r="AV9" t="s">
        <v>56</v>
      </c>
      <c r="AW9" t="s">
        <v>57</v>
      </c>
      <c r="AX9">
        <v>4</v>
      </c>
      <c r="AY9" t="s">
        <v>58</v>
      </c>
    </row>
    <row r="10" spans="1:51" x14ac:dyDescent="0.3">
      <c r="A10" s="1">
        <v>45048</v>
      </c>
      <c r="B10" s="2">
        <v>0.55972222222222223</v>
      </c>
      <c r="C10">
        <v>6</v>
      </c>
      <c r="D10" t="s">
        <v>22</v>
      </c>
      <c r="E10">
        <v>7.65</v>
      </c>
      <c r="F10">
        <v>5.47</v>
      </c>
      <c r="G10" s="3">
        <v>16.8</v>
      </c>
      <c r="H10" s="3">
        <v>18.3</v>
      </c>
      <c r="I10" s="2">
        <v>0.59097222222222223</v>
      </c>
      <c r="J10" t="e">
        <f>VLOOKUP(D10,Fish_Container_info!$A$2:$E$20,4)</f>
        <v>#N/A</v>
      </c>
      <c r="K10" t="e">
        <f>VLOOKUP(D10,Fish_Container_info!$A$2:$D$20,2)</f>
        <v>#N/A</v>
      </c>
      <c r="L10" t="e">
        <f>VLOOKUP(D10,Fish_Container_info!$A$2:$D$20,3)</f>
        <v>#N/A</v>
      </c>
      <c r="M10">
        <f>VLOOKUP(C10,Fish_Container_info!$G$2:$H$45,2)</f>
        <v>2340</v>
      </c>
      <c r="N10">
        <v>5</v>
      </c>
      <c r="O10" s="2">
        <f>I10-B10</f>
        <v>3.125E-2</v>
      </c>
      <c r="P10" s="5">
        <f t="shared" si="0"/>
        <v>3.125E-2</v>
      </c>
      <c r="Q10" s="5">
        <f t="shared" si="3"/>
        <v>1.5</v>
      </c>
      <c r="R10" s="4">
        <f>E10-F10</f>
        <v>2.1800000000000006</v>
      </c>
      <c r="S10" s="5">
        <f t="shared" si="1"/>
        <v>5.101200000000001E-3</v>
      </c>
      <c r="T10" s="5" t="e">
        <f t="shared" si="2"/>
        <v>#N/A</v>
      </c>
      <c r="U10" s="3">
        <f>AVERAGE(G10:H10)</f>
        <v>17.55</v>
      </c>
      <c r="V10" s="5">
        <v>6.4521106719367602E-3</v>
      </c>
      <c r="AM10">
        <f t="shared" si="4"/>
        <v>1.3668737499999999E-4</v>
      </c>
      <c r="AN10">
        <f t="shared" ref="AN10:AO10" si="12">AM10*1000</f>
        <v>0.136687375</v>
      </c>
      <c r="AO10">
        <f t="shared" si="12"/>
        <v>136.687375</v>
      </c>
      <c r="AP10">
        <f t="shared" si="6"/>
        <v>2.2781229166666668</v>
      </c>
      <c r="AR10">
        <v>14</v>
      </c>
      <c r="AS10">
        <v>13.6</v>
      </c>
      <c r="AT10">
        <v>3.2804969999999998E-3</v>
      </c>
      <c r="AU10" t="s">
        <v>59</v>
      </c>
      <c r="AV10" t="s">
        <v>56</v>
      </c>
      <c r="AW10" t="s">
        <v>57</v>
      </c>
      <c r="AX10">
        <v>4</v>
      </c>
      <c r="AY10" t="s">
        <v>58</v>
      </c>
    </row>
    <row r="11" spans="1:51" x14ac:dyDescent="0.3">
      <c r="A11" s="1">
        <v>45048</v>
      </c>
      <c r="B11" s="2">
        <v>0.5625</v>
      </c>
      <c r="C11">
        <v>7</v>
      </c>
      <c r="D11" t="s">
        <v>23</v>
      </c>
      <c r="E11">
        <v>5.98</v>
      </c>
      <c r="F11">
        <v>4.1399999999999997</v>
      </c>
      <c r="G11" s="3">
        <v>17.7</v>
      </c>
      <c r="H11" s="3">
        <v>18.5</v>
      </c>
      <c r="I11" s="2">
        <v>0.59375</v>
      </c>
      <c r="J11" t="e">
        <f>VLOOKUP(D11,Fish_Container_info!$A$2:$E$20,4)</f>
        <v>#N/A</v>
      </c>
      <c r="K11" t="e">
        <f>VLOOKUP(D11,Fish_Container_info!$A$2:$D$20,2)</f>
        <v>#N/A</v>
      </c>
      <c r="L11" t="e">
        <f>VLOOKUP(D11,Fish_Container_info!$A$2:$D$20,3)</f>
        <v>#N/A</v>
      </c>
      <c r="M11">
        <f>VLOOKUP(C11,Fish_Container_info!$G$2:$H$45,2)</f>
        <v>2340</v>
      </c>
      <c r="N11">
        <v>5</v>
      </c>
      <c r="O11" s="2">
        <f>I11-B11</f>
        <v>3.125E-2</v>
      </c>
      <c r="P11" s="5">
        <f t="shared" si="0"/>
        <v>3.125E-2</v>
      </c>
      <c r="Q11" s="5">
        <f t="shared" si="3"/>
        <v>0.80000000000000071</v>
      </c>
      <c r="R11" s="4">
        <f>E11-F11</f>
        <v>1.8400000000000007</v>
      </c>
      <c r="S11" s="5">
        <f t="shared" si="1"/>
        <v>4.3056000000000014E-3</v>
      </c>
      <c r="T11" s="5" t="e">
        <f t="shared" si="2"/>
        <v>#N/A</v>
      </c>
      <c r="U11" s="3">
        <f>AVERAGE(G11:H11)</f>
        <v>18.100000000000001</v>
      </c>
      <c r="V11" s="5">
        <v>5.2788965517241394E-3</v>
      </c>
      <c r="AM11">
        <f t="shared" si="4"/>
        <v>2.6883795833333333E-4</v>
      </c>
      <c r="AN11">
        <f t="shared" ref="AN11:AO11" si="13">AM11*1000</f>
        <v>0.26883795833333335</v>
      </c>
      <c r="AO11">
        <f t="shared" si="13"/>
        <v>268.83795833333335</v>
      </c>
      <c r="AP11">
        <f t="shared" si="6"/>
        <v>4.4806326388888893</v>
      </c>
      <c r="AR11">
        <v>18</v>
      </c>
      <c r="AS11">
        <v>17.55</v>
      </c>
      <c r="AT11">
        <v>6.452111E-3</v>
      </c>
      <c r="AU11" t="s">
        <v>55</v>
      </c>
      <c r="AV11" t="s">
        <v>56</v>
      </c>
      <c r="AW11" t="s">
        <v>57</v>
      </c>
      <c r="AX11">
        <v>5</v>
      </c>
      <c r="AY11" t="s">
        <v>58</v>
      </c>
    </row>
    <row r="12" spans="1:51" x14ac:dyDescent="0.3">
      <c r="A12" s="1">
        <v>45048</v>
      </c>
      <c r="B12" s="2">
        <v>0.625</v>
      </c>
      <c r="C12">
        <v>6</v>
      </c>
      <c r="D12" t="s">
        <v>22</v>
      </c>
      <c r="E12">
        <v>6.62</v>
      </c>
      <c r="F12">
        <v>4.95</v>
      </c>
      <c r="G12" s="3">
        <v>19.5</v>
      </c>
      <c r="H12" s="3">
        <v>20</v>
      </c>
      <c r="I12" s="2">
        <v>0.64930555555555558</v>
      </c>
      <c r="J12" t="e">
        <f>VLOOKUP(D12,Fish_Container_info!$A$2:$E$20,4)</f>
        <v>#N/A</v>
      </c>
      <c r="K12" t="e">
        <f>VLOOKUP(D12,Fish_Container_info!$A$2:$D$20,2)</f>
        <v>#N/A</v>
      </c>
      <c r="L12" t="e">
        <f>VLOOKUP(D12,Fish_Container_info!$A$2:$D$20,3)</f>
        <v>#N/A</v>
      </c>
      <c r="M12">
        <f>VLOOKUP(C12,Fish_Container_info!$G$2:$H$45,2)</f>
        <v>2340</v>
      </c>
      <c r="N12">
        <v>6</v>
      </c>
      <c r="O12" s="2">
        <f>I12-B12</f>
        <v>2.430555555555558E-2</v>
      </c>
      <c r="P12" s="5">
        <f t="shared" si="0"/>
        <v>2.430555555555558E-2</v>
      </c>
      <c r="Q12" s="5">
        <f t="shared" si="3"/>
        <v>0.5</v>
      </c>
      <c r="R12" s="4">
        <f>E12-F12</f>
        <v>1.67</v>
      </c>
      <c r="S12" s="5">
        <f t="shared" si="1"/>
        <v>3.9077999999999995E-3</v>
      </c>
      <c r="T12" s="5" t="e">
        <f t="shared" si="2"/>
        <v>#N/A</v>
      </c>
      <c r="U12" s="3">
        <f>AVERAGE(G12:H12)</f>
        <v>19.75</v>
      </c>
      <c r="V12" s="5">
        <v>6.3548639186899987E-3</v>
      </c>
      <c r="AM12">
        <f t="shared" si="4"/>
        <v>2.1995404166666669E-4</v>
      </c>
      <c r="AN12">
        <f t="shared" ref="AN12:AO12" si="14">AM12*1000</f>
        <v>0.21995404166666668</v>
      </c>
      <c r="AO12">
        <f t="shared" si="14"/>
        <v>219.95404166666668</v>
      </c>
      <c r="AP12">
        <f t="shared" si="6"/>
        <v>3.6659006944444448</v>
      </c>
      <c r="AR12">
        <v>18</v>
      </c>
      <c r="AS12">
        <v>18.100000000000001</v>
      </c>
      <c r="AT12">
        <v>5.2788970000000003E-3</v>
      </c>
      <c r="AU12" t="s">
        <v>59</v>
      </c>
      <c r="AV12" t="s">
        <v>56</v>
      </c>
      <c r="AW12" t="s">
        <v>57</v>
      </c>
      <c r="AX12">
        <v>5</v>
      </c>
      <c r="AY12" t="s">
        <v>58</v>
      </c>
    </row>
    <row r="13" spans="1:51" x14ac:dyDescent="0.3">
      <c r="A13" s="1">
        <v>45048</v>
      </c>
      <c r="B13" s="2">
        <v>0.62638888888888888</v>
      </c>
      <c r="C13">
        <v>7</v>
      </c>
      <c r="D13" t="s">
        <v>23</v>
      </c>
      <c r="E13">
        <v>7.86</v>
      </c>
      <c r="F13">
        <v>6.07</v>
      </c>
      <c r="G13" s="3">
        <v>19.3</v>
      </c>
      <c r="H13" s="3">
        <v>19.7</v>
      </c>
      <c r="I13" s="2">
        <v>0.65138888888888891</v>
      </c>
      <c r="J13" t="e">
        <f>VLOOKUP(D13,Fish_Container_info!$A$2:$E$20,4)</f>
        <v>#N/A</v>
      </c>
      <c r="K13" t="e">
        <f>VLOOKUP(D13,Fish_Container_info!$A$2:$D$20,2)</f>
        <v>#N/A</v>
      </c>
      <c r="L13" t="e">
        <f>VLOOKUP(D13,Fish_Container_info!$A$2:$D$20,3)</f>
        <v>#N/A</v>
      </c>
      <c r="M13">
        <f>VLOOKUP(C13,Fish_Container_info!$G$2:$H$45,2)</f>
        <v>2340</v>
      </c>
      <c r="N13">
        <v>6</v>
      </c>
      <c r="O13" s="2">
        <f>I13-B13</f>
        <v>2.5000000000000022E-2</v>
      </c>
      <c r="P13" s="5">
        <f t="shared" si="0"/>
        <v>2.5000000000000019E-2</v>
      </c>
      <c r="Q13" s="5">
        <f t="shared" si="3"/>
        <v>0.39999999999999858</v>
      </c>
      <c r="R13" s="4">
        <f>E13-F13</f>
        <v>1.79</v>
      </c>
      <c r="S13" s="5">
        <f t="shared" si="1"/>
        <v>4.1885999999999998E-3</v>
      </c>
      <c r="T13" s="5" t="e">
        <f t="shared" si="2"/>
        <v>#N/A</v>
      </c>
      <c r="U13" s="3">
        <f>AVERAGE(G13:H13)</f>
        <v>19.5</v>
      </c>
      <c r="V13" s="5">
        <v>6.4193103448275807E-3</v>
      </c>
      <c r="AM13">
        <f t="shared" si="4"/>
        <v>2.6478599999999998E-4</v>
      </c>
      <c r="AN13">
        <f t="shared" ref="AN13:AO13" si="15">AM13*1000</f>
        <v>0.26478599999999997</v>
      </c>
      <c r="AO13">
        <f t="shared" si="15"/>
        <v>264.78599999999994</v>
      </c>
      <c r="AP13">
        <f t="shared" si="6"/>
        <v>4.4130999999999991</v>
      </c>
      <c r="AR13">
        <v>20</v>
      </c>
      <c r="AS13">
        <v>19.75</v>
      </c>
      <c r="AT13">
        <v>6.354864E-3</v>
      </c>
      <c r="AU13" t="s">
        <v>55</v>
      </c>
      <c r="AV13" t="s">
        <v>56</v>
      </c>
      <c r="AW13" t="s">
        <v>57</v>
      </c>
      <c r="AX13">
        <v>6</v>
      </c>
      <c r="AY13" t="s">
        <v>58</v>
      </c>
    </row>
    <row r="14" spans="1:51" x14ac:dyDescent="0.3">
      <c r="A14" s="1">
        <v>45048</v>
      </c>
      <c r="B14" s="2">
        <v>0.6875</v>
      </c>
      <c r="C14">
        <v>7</v>
      </c>
      <c r="D14" t="s">
        <v>23</v>
      </c>
      <c r="E14">
        <v>7.86</v>
      </c>
      <c r="F14">
        <v>6.39</v>
      </c>
      <c r="G14" s="3">
        <v>20</v>
      </c>
      <c r="H14" s="3">
        <v>20</v>
      </c>
      <c r="I14" s="2">
        <v>0.70763888888888893</v>
      </c>
      <c r="J14" t="e">
        <f>VLOOKUP(D14,Fish_Container_info!$A$2:$E$20,4)</f>
        <v>#N/A</v>
      </c>
      <c r="K14" t="e">
        <f>VLOOKUP(D14,Fish_Container_info!$A$2:$D$20,2)</f>
        <v>#N/A</v>
      </c>
      <c r="L14" t="e">
        <f>VLOOKUP(D14,Fish_Container_info!$A$2:$D$20,3)</f>
        <v>#N/A</v>
      </c>
      <c r="M14">
        <f>VLOOKUP(C14,Fish_Container_info!$G$2:$H$45,2)</f>
        <v>2340</v>
      </c>
      <c r="N14">
        <v>7</v>
      </c>
      <c r="O14" s="2">
        <f>I14-B14</f>
        <v>2.0138888888888928E-2</v>
      </c>
      <c r="P14" s="5">
        <f t="shared" si="0"/>
        <v>2.0138888888888928E-2</v>
      </c>
      <c r="Q14" s="5">
        <f t="shared" si="3"/>
        <v>0</v>
      </c>
      <c r="R14" s="4">
        <f>E14-F14</f>
        <v>1.4700000000000006</v>
      </c>
      <c r="S14" s="5">
        <f t="shared" si="1"/>
        <v>3.4398000000000011E-3</v>
      </c>
      <c r="T14" s="5" t="e">
        <f t="shared" si="2"/>
        <v>#N/A</v>
      </c>
      <c r="U14" s="3">
        <f>AVERAGE(G14:H14)</f>
        <v>20</v>
      </c>
      <c r="V14" s="5">
        <v>6.5442092746729975E-3</v>
      </c>
      <c r="AM14">
        <f t="shared" si="4"/>
        <v>2.6747125000000001E-4</v>
      </c>
      <c r="AN14">
        <f t="shared" ref="AN14:AO14" si="16">AM14*1000</f>
        <v>0.26747124999999999</v>
      </c>
      <c r="AO14">
        <f t="shared" si="16"/>
        <v>267.47125</v>
      </c>
      <c r="AP14">
        <f t="shared" si="6"/>
        <v>4.4578541666666665</v>
      </c>
      <c r="AR14">
        <v>20</v>
      </c>
      <c r="AS14">
        <v>19.5</v>
      </c>
      <c r="AT14">
        <v>6.4193100000000001E-3</v>
      </c>
      <c r="AU14" t="s">
        <v>59</v>
      </c>
      <c r="AV14" t="s">
        <v>56</v>
      </c>
      <c r="AW14" t="s">
        <v>57</v>
      </c>
      <c r="AX14">
        <v>6</v>
      </c>
      <c r="AY14" t="s">
        <v>58</v>
      </c>
    </row>
    <row r="15" spans="1:51" x14ac:dyDescent="0.3">
      <c r="A15" s="1">
        <v>45048</v>
      </c>
      <c r="B15" s="2">
        <v>0.7006944444444444</v>
      </c>
      <c r="C15">
        <v>6</v>
      </c>
      <c r="D15" t="s">
        <v>22</v>
      </c>
      <c r="E15">
        <v>5.76</v>
      </c>
      <c r="F15">
        <v>4.6500000000000004</v>
      </c>
      <c r="G15" s="3">
        <v>20.6</v>
      </c>
      <c r="H15" s="3">
        <v>20.6</v>
      </c>
      <c r="I15" s="2">
        <v>0.71319444444444446</v>
      </c>
      <c r="J15" t="e">
        <f>VLOOKUP(D15,Fish_Container_info!$A$2:$E$20,4)</f>
        <v>#N/A</v>
      </c>
      <c r="K15" t="e">
        <f>VLOOKUP(D15,Fish_Container_info!$A$2:$D$20,2)</f>
        <v>#N/A</v>
      </c>
      <c r="L15" t="e">
        <f>VLOOKUP(D15,Fish_Container_info!$A$2:$D$20,3)</f>
        <v>#N/A</v>
      </c>
      <c r="M15">
        <f>VLOOKUP(C15,Fish_Container_info!$G$2:$H$45,2)</f>
        <v>2340</v>
      </c>
      <c r="N15">
        <v>7</v>
      </c>
      <c r="O15" s="2">
        <f>I15-B15</f>
        <v>1.2500000000000067E-2</v>
      </c>
      <c r="P15" s="5">
        <f t="shared" si="0"/>
        <v>1.2500000000000067E-2</v>
      </c>
      <c r="Q15" s="5">
        <f t="shared" si="3"/>
        <v>0</v>
      </c>
      <c r="R15" s="4">
        <f>E15-F15</f>
        <v>1.1099999999999994</v>
      </c>
      <c r="S15" s="5">
        <f t="shared" si="1"/>
        <v>2.5973999999999984E-3</v>
      </c>
      <c r="T15" s="5" t="e">
        <f t="shared" si="2"/>
        <v>#N/A</v>
      </c>
      <c r="U15" s="3">
        <f>AVERAGE(G15:H15)</f>
        <v>20.6</v>
      </c>
      <c r="V15" s="5">
        <v>8.2131225296442206E-3</v>
      </c>
      <c r="AM15">
        <f t="shared" si="4"/>
        <v>2.7267537499999997E-4</v>
      </c>
      <c r="AN15">
        <f t="shared" ref="AN15:AO15" si="17">AM15*1000</f>
        <v>0.27267537499999994</v>
      </c>
      <c r="AO15">
        <f t="shared" si="17"/>
        <v>272.67537499999992</v>
      </c>
      <c r="AP15">
        <f t="shared" si="6"/>
        <v>4.5445895833333321</v>
      </c>
      <c r="AR15">
        <v>20</v>
      </c>
      <c r="AS15">
        <v>20</v>
      </c>
      <c r="AT15">
        <v>6.5442089999999996E-3</v>
      </c>
      <c r="AU15" t="s">
        <v>59</v>
      </c>
      <c r="AV15" t="s">
        <v>56</v>
      </c>
      <c r="AW15" t="s">
        <v>57</v>
      </c>
      <c r="AX15">
        <v>7</v>
      </c>
      <c r="AY15" t="s">
        <v>58</v>
      </c>
    </row>
    <row r="16" spans="1:51" x14ac:dyDescent="0.3">
      <c r="A16" s="1">
        <v>45048</v>
      </c>
      <c r="B16" s="2">
        <v>0.75763888888888886</v>
      </c>
      <c r="C16">
        <v>6</v>
      </c>
      <c r="D16" t="s">
        <v>22</v>
      </c>
      <c r="E16">
        <v>7.66</v>
      </c>
      <c r="F16">
        <v>5.17</v>
      </c>
      <c r="G16" s="3">
        <v>20.2</v>
      </c>
      <c r="H16" s="3">
        <v>19.899999999999999</v>
      </c>
      <c r="I16" s="2">
        <v>0.78819444444444453</v>
      </c>
      <c r="J16" t="e">
        <f>VLOOKUP(D16,Fish_Container_info!$A$2:$E$20,4)</f>
        <v>#N/A</v>
      </c>
      <c r="K16" t="e">
        <f>VLOOKUP(D16,Fish_Container_info!$A$2:$D$20,2)</f>
        <v>#N/A</v>
      </c>
      <c r="L16" t="e">
        <f>VLOOKUP(D16,Fish_Container_info!$A$2:$D$20,3)</f>
        <v>#N/A</v>
      </c>
      <c r="M16">
        <f>VLOOKUP(C16,Fish_Container_info!$G$2:$H$45,2)</f>
        <v>2340</v>
      </c>
      <c r="N16">
        <v>8</v>
      </c>
      <c r="O16" s="2">
        <f>I16-B16</f>
        <v>3.0555555555555669E-2</v>
      </c>
      <c r="P16" s="5">
        <f t="shared" si="0"/>
        <v>3.0555555555555669E-2</v>
      </c>
      <c r="Q16" s="5">
        <f t="shared" si="3"/>
        <v>-0.30000000000000071</v>
      </c>
      <c r="R16" s="4">
        <f>E16-F16</f>
        <v>2.4900000000000002</v>
      </c>
      <c r="S16" s="5">
        <f t="shared" si="1"/>
        <v>5.8266000000000004E-3</v>
      </c>
      <c r="T16" s="5" t="e">
        <f t="shared" si="2"/>
        <v>#N/A</v>
      </c>
      <c r="U16" s="3">
        <f>AVERAGE(G16:H16)</f>
        <v>20.049999999999997</v>
      </c>
      <c r="V16" s="5">
        <v>7.537103844771801E-3</v>
      </c>
      <c r="AM16">
        <f t="shared" si="4"/>
        <v>3.4221345833333332E-4</v>
      </c>
      <c r="AN16">
        <f t="shared" ref="AN16:AO16" si="18">AM16*1000</f>
        <v>0.34221345833333333</v>
      </c>
      <c r="AO16">
        <f t="shared" si="18"/>
        <v>342.21345833333334</v>
      </c>
      <c r="AP16">
        <f t="shared" si="6"/>
        <v>5.7035576388888893</v>
      </c>
      <c r="AR16">
        <v>21</v>
      </c>
      <c r="AS16">
        <v>20.6</v>
      </c>
      <c r="AT16">
        <v>8.2131229999999993E-3</v>
      </c>
      <c r="AU16" t="s">
        <v>55</v>
      </c>
      <c r="AV16" t="s">
        <v>56</v>
      </c>
      <c r="AW16" t="s">
        <v>57</v>
      </c>
      <c r="AX16">
        <v>7</v>
      </c>
      <c r="AY16" t="s">
        <v>58</v>
      </c>
    </row>
    <row r="17" spans="1:51" x14ac:dyDescent="0.3">
      <c r="A17" s="1">
        <v>45048</v>
      </c>
      <c r="B17" s="2">
        <v>0.7597222222222223</v>
      </c>
      <c r="C17">
        <v>7</v>
      </c>
      <c r="D17" t="s">
        <v>23</v>
      </c>
      <c r="E17">
        <v>7.28</v>
      </c>
      <c r="F17">
        <v>5.08</v>
      </c>
      <c r="G17" s="3">
        <v>19.600000000000001</v>
      </c>
      <c r="H17" s="3">
        <v>19.3</v>
      </c>
      <c r="I17" s="2">
        <v>0.79027777777777775</v>
      </c>
      <c r="J17" t="e">
        <f>VLOOKUP(D17,Fish_Container_info!$A$2:$E$20,4)</f>
        <v>#N/A</v>
      </c>
      <c r="K17" t="e">
        <f>VLOOKUP(D17,Fish_Container_info!$A$2:$D$20,2)</f>
        <v>#N/A</v>
      </c>
      <c r="L17" t="e">
        <f>VLOOKUP(D17,Fish_Container_info!$A$2:$D$20,3)</f>
        <v>#N/A</v>
      </c>
      <c r="M17">
        <f>VLOOKUP(C17,Fish_Container_info!$G$2:$H$45,2)</f>
        <v>2340</v>
      </c>
      <c r="N17">
        <v>8</v>
      </c>
      <c r="O17" s="2">
        <f>I17-B17</f>
        <v>3.0555555555555447E-2</v>
      </c>
      <c r="P17" s="5">
        <f t="shared" si="0"/>
        <v>3.0555555555555447E-2</v>
      </c>
      <c r="Q17" s="5">
        <f t="shared" si="3"/>
        <v>-0.30000000000000071</v>
      </c>
      <c r="R17" s="4">
        <f>E17-F17</f>
        <v>2.2000000000000002</v>
      </c>
      <c r="S17" s="5">
        <f t="shared" si="1"/>
        <v>5.1479999999999998E-3</v>
      </c>
      <c r="T17" s="5" t="e">
        <f t="shared" si="2"/>
        <v>#N/A</v>
      </c>
      <c r="U17" s="3">
        <f>AVERAGE(G17:H17)</f>
        <v>19.450000000000003</v>
      </c>
      <c r="V17" s="5">
        <v>6.455172413793126E-3</v>
      </c>
      <c r="AM17">
        <f t="shared" si="4"/>
        <v>3.1404600000000001E-4</v>
      </c>
      <c r="AN17">
        <f t="shared" ref="AN17:AO17" si="19">AM17*1000</f>
        <v>0.31404599999999999</v>
      </c>
      <c r="AO17">
        <f t="shared" si="19"/>
        <v>314.04599999999999</v>
      </c>
      <c r="AP17">
        <f t="shared" si="6"/>
        <v>5.2340999999999998</v>
      </c>
      <c r="AR17">
        <v>20</v>
      </c>
      <c r="AS17">
        <v>20.05</v>
      </c>
      <c r="AT17">
        <v>7.5371040000000002E-3</v>
      </c>
      <c r="AU17" t="s">
        <v>55</v>
      </c>
      <c r="AV17" t="s">
        <v>56</v>
      </c>
      <c r="AW17" t="s">
        <v>57</v>
      </c>
      <c r="AX17">
        <v>8</v>
      </c>
      <c r="AY17" t="s">
        <v>58</v>
      </c>
    </row>
    <row r="18" spans="1:51" x14ac:dyDescent="0.3">
      <c r="A18" s="1">
        <v>45049</v>
      </c>
      <c r="B18" s="2">
        <v>0.28125</v>
      </c>
      <c r="C18">
        <v>13</v>
      </c>
      <c r="D18" t="s">
        <v>33</v>
      </c>
      <c r="E18">
        <v>8.81</v>
      </c>
      <c r="F18">
        <v>7.04</v>
      </c>
      <c r="G18" s="3">
        <v>13.9</v>
      </c>
      <c r="H18" s="3">
        <v>14.2</v>
      </c>
      <c r="I18" s="2">
        <v>0.3215277777777778</v>
      </c>
      <c r="J18" t="e">
        <f>VLOOKUP(D18,Fish_Container_info!$A$2:$E$20,4)</f>
        <v>#N/A</v>
      </c>
      <c r="K18" t="e">
        <f>VLOOKUP(D18,Fish_Container_info!$A$2:$D$20,2)</f>
        <v>#N/A</v>
      </c>
      <c r="L18" t="e">
        <f>VLOOKUP(D18,Fish_Container_info!$A$2:$D$20,3)</f>
        <v>#N/A</v>
      </c>
      <c r="M18">
        <f>VLOOKUP(C18,Fish_Container_info!$G$2:$H$45,2)</f>
        <v>1370</v>
      </c>
      <c r="N18">
        <v>1</v>
      </c>
      <c r="O18" s="2">
        <f>I18-B18</f>
        <v>4.0277777777777801E-2</v>
      </c>
      <c r="P18" s="5">
        <f t="shared" si="0"/>
        <v>4.0277777777777801E-2</v>
      </c>
      <c r="Q18" s="5">
        <f t="shared" si="3"/>
        <v>0.29999999999999893</v>
      </c>
      <c r="R18" s="4">
        <f>E18-F18</f>
        <v>1.7700000000000005</v>
      </c>
      <c r="S18" s="5">
        <f t="shared" si="1"/>
        <v>2.4249000000000011E-3</v>
      </c>
      <c r="T18" s="5" t="e">
        <f t="shared" si="2"/>
        <v>#N/A</v>
      </c>
      <c r="U18" s="3">
        <f>AVERAGE(G18:H18)</f>
        <v>14.05</v>
      </c>
      <c r="V18" s="5">
        <v>4.6311087533156495E-3</v>
      </c>
      <c r="AM18">
        <f t="shared" si="4"/>
        <v>2.6896550000000003E-4</v>
      </c>
      <c r="AN18">
        <f t="shared" ref="AN18:AO18" si="20">AM18*1000</f>
        <v>0.26896550000000002</v>
      </c>
      <c r="AO18">
        <f t="shared" si="20"/>
        <v>268.96550000000002</v>
      </c>
      <c r="AP18">
        <f t="shared" si="6"/>
        <v>4.4827583333333338</v>
      </c>
      <c r="AR18">
        <v>19</v>
      </c>
      <c r="AS18">
        <v>19.45</v>
      </c>
      <c r="AT18">
        <v>6.4551720000000003E-3</v>
      </c>
      <c r="AU18" t="s">
        <v>59</v>
      </c>
      <c r="AV18" t="s">
        <v>56</v>
      </c>
      <c r="AW18" t="s">
        <v>57</v>
      </c>
      <c r="AX18">
        <v>8</v>
      </c>
      <c r="AY18" t="s">
        <v>58</v>
      </c>
    </row>
    <row r="19" spans="1:51" x14ac:dyDescent="0.3">
      <c r="A19" s="1">
        <v>45049</v>
      </c>
      <c r="B19" s="2">
        <v>0.28333333333333333</v>
      </c>
      <c r="C19">
        <v>14</v>
      </c>
      <c r="D19" t="s">
        <v>34</v>
      </c>
      <c r="E19">
        <v>8.61</v>
      </c>
      <c r="F19">
        <v>6.65</v>
      </c>
      <c r="G19" s="3">
        <v>13.9</v>
      </c>
      <c r="H19" s="3">
        <v>14.1</v>
      </c>
      <c r="I19" s="2">
        <v>0.32291666666666669</v>
      </c>
      <c r="J19">
        <f>VLOOKUP(D19,Fish_Container_info!$A$2:$E$20,4)</f>
        <v>3.4</v>
      </c>
      <c r="K19">
        <f>VLOOKUP(D19,Fish_Container_info!$A$2:$D$20,2)</f>
        <v>1</v>
      </c>
      <c r="L19">
        <f>VLOOKUP(D19,Fish_Container_info!$A$2:$D$20,3)</f>
        <v>76</v>
      </c>
      <c r="M19">
        <f>VLOOKUP(C19,Fish_Container_info!$G$2:$H$45,2)</f>
        <v>1370</v>
      </c>
      <c r="N19">
        <v>1</v>
      </c>
      <c r="O19" s="2">
        <f>I19-B19</f>
        <v>3.9583333333333359E-2</v>
      </c>
      <c r="P19" s="5">
        <f t="shared" si="0"/>
        <v>3.9583333333333359E-2</v>
      </c>
      <c r="Q19" s="5">
        <f t="shared" si="3"/>
        <v>0.19999999999999929</v>
      </c>
      <c r="R19" s="4">
        <f>E19-F19</f>
        <v>1.9599999999999991</v>
      </c>
      <c r="S19" s="5">
        <f t="shared" si="1"/>
        <v>2.6851999999999991E-3</v>
      </c>
      <c r="T19" s="5">
        <f t="shared" si="2"/>
        <v>8.9258725761772763E-4</v>
      </c>
      <c r="U19" s="3">
        <f>AVERAGE(G19:H19)</f>
        <v>14</v>
      </c>
      <c r="V19" s="5">
        <v>5.0249356725146146E-3</v>
      </c>
      <c r="AM19">
        <f t="shared" si="4"/>
        <v>1.9296287499999997E-4</v>
      </c>
      <c r="AN19">
        <f t="shared" ref="AN19:AO19" si="21">AM19*1000</f>
        <v>0.19296287499999998</v>
      </c>
      <c r="AO19">
        <f t="shared" si="21"/>
        <v>192.96287499999997</v>
      </c>
      <c r="AP19">
        <f t="shared" si="6"/>
        <v>3.2160479166666662</v>
      </c>
      <c r="AR19">
        <v>14</v>
      </c>
      <c r="AS19">
        <v>14.05</v>
      </c>
      <c r="AT19">
        <v>4.6311089999999996E-3</v>
      </c>
      <c r="AU19" t="s">
        <v>60</v>
      </c>
      <c r="AV19" t="s">
        <v>56</v>
      </c>
      <c r="AW19" t="s">
        <v>57</v>
      </c>
      <c r="AX19">
        <v>1</v>
      </c>
      <c r="AY19" t="s">
        <v>58</v>
      </c>
    </row>
    <row r="20" spans="1:51" x14ac:dyDescent="0.3">
      <c r="A20" s="1">
        <v>45049</v>
      </c>
      <c r="B20" s="2">
        <v>0.28472222222222221</v>
      </c>
      <c r="C20">
        <v>5</v>
      </c>
      <c r="D20" t="s">
        <v>35</v>
      </c>
      <c r="E20">
        <v>8.43</v>
      </c>
      <c r="F20">
        <v>6.93</v>
      </c>
      <c r="G20" s="3">
        <v>13.7</v>
      </c>
      <c r="H20" s="3">
        <v>13.9</v>
      </c>
      <c r="I20" s="2">
        <v>0.32430555555555557</v>
      </c>
      <c r="J20">
        <f>VLOOKUP(D20,Fish_Container_info!$A$2:$E$20,4)</f>
        <v>3.4</v>
      </c>
      <c r="K20">
        <f>VLOOKUP(D20,Fish_Container_info!$A$2:$D$20,2)</f>
        <v>1</v>
      </c>
      <c r="L20">
        <f>VLOOKUP(D20,Fish_Container_info!$A$2:$D$20,3)</f>
        <v>76</v>
      </c>
      <c r="M20">
        <f>VLOOKUP(C20,Fish_Container_info!$G$2:$H$45,2)</f>
        <v>3690</v>
      </c>
      <c r="N20">
        <v>1</v>
      </c>
      <c r="O20" s="2">
        <f>I20-B20</f>
        <v>3.9583333333333359E-2</v>
      </c>
      <c r="P20" s="5">
        <f t="shared" si="0"/>
        <v>3.9583333333333359E-2</v>
      </c>
      <c r="Q20" s="5">
        <f t="shared" si="3"/>
        <v>0.20000000000000107</v>
      </c>
      <c r="R20" s="4">
        <f>E20-F20</f>
        <v>1.5</v>
      </c>
      <c r="S20" s="5">
        <f t="shared" si="1"/>
        <v>5.535E-3</v>
      </c>
      <c r="T20" s="5">
        <f t="shared" si="2"/>
        <v>1.8398891966758992E-3</v>
      </c>
      <c r="U20" s="3">
        <f>AVERAGE(G20:H20)</f>
        <v>13.8</v>
      </c>
      <c r="V20" s="5">
        <v>4.0530892448512566E-3</v>
      </c>
      <c r="AM20">
        <f t="shared" si="4"/>
        <v>2.0937233333333333E-4</v>
      </c>
      <c r="AN20">
        <f t="shared" ref="AN20:AO20" si="22">AM20*1000</f>
        <v>0.20937233333333333</v>
      </c>
      <c r="AO20">
        <f t="shared" si="22"/>
        <v>209.37233333333333</v>
      </c>
      <c r="AP20">
        <f t="shared" si="6"/>
        <v>3.4895388888888887</v>
      </c>
      <c r="AR20">
        <v>14</v>
      </c>
      <c r="AS20">
        <v>14</v>
      </c>
      <c r="AT20">
        <v>5.0249359999999998E-3</v>
      </c>
      <c r="AU20" t="s">
        <v>61</v>
      </c>
      <c r="AV20" t="s">
        <v>56</v>
      </c>
      <c r="AW20" t="s">
        <v>57</v>
      </c>
      <c r="AX20">
        <v>1</v>
      </c>
      <c r="AY20" t="s">
        <v>58</v>
      </c>
    </row>
    <row r="21" spans="1:51" x14ac:dyDescent="0.3">
      <c r="A21" s="1">
        <v>45049</v>
      </c>
      <c r="B21" s="2">
        <v>0.37083333333333335</v>
      </c>
      <c r="C21">
        <v>13</v>
      </c>
      <c r="D21" t="s">
        <v>33</v>
      </c>
      <c r="E21">
        <v>8.8699999999999992</v>
      </c>
      <c r="F21">
        <v>6.94</v>
      </c>
      <c r="G21" s="3">
        <v>14.4</v>
      </c>
      <c r="H21" s="3">
        <v>15.2</v>
      </c>
      <c r="I21" s="2">
        <v>0.41388888888888892</v>
      </c>
      <c r="J21" t="e">
        <f>VLOOKUP(D21,Fish_Container_info!$A$2:$E$20,4)</f>
        <v>#N/A</v>
      </c>
      <c r="K21" t="e">
        <f>VLOOKUP(D21,Fish_Container_info!$A$2:$D$20,2)</f>
        <v>#N/A</v>
      </c>
      <c r="L21" t="e">
        <f>VLOOKUP(D21,Fish_Container_info!$A$2:$D$20,3)</f>
        <v>#N/A</v>
      </c>
      <c r="M21">
        <f>VLOOKUP(C21,Fish_Container_info!$G$2:$H$45,2)</f>
        <v>1370</v>
      </c>
      <c r="N21">
        <v>2</v>
      </c>
      <c r="O21" s="2">
        <f>I21-B21</f>
        <v>4.3055555555555569E-2</v>
      </c>
      <c r="P21" s="5">
        <f t="shared" si="0"/>
        <v>4.3055555555555569E-2</v>
      </c>
      <c r="Q21" s="5">
        <f t="shared" si="3"/>
        <v>0.79999999999999893</v>
      </c>
      <c r="R21" s="4">
        <f>E21-F21</f>
        <v>1.9299999999999988</v>
      </c>
      <c r="S21" s="5">
        <f t="shared" si="1"/>
        <v>2.6440999999999986E-3</v>
      </c>
      <c r="T21" s="5" t="e">
        <f t="shared" si="2"/>
        <v>#N/A</v>
      </c>
      <c r="U21" s="3">
        <f>AVERAGE(G21:H21)</f>
        <v>14.8</v>
      </c>
      <c r="V21" s="5">
        <v>4.7239503722084327E-3</v>
      </c>
      <c r="AM21">
        <f t="shared" si="4"/>
        <v>1.6887870833333333E-4</v>
      </c>
      <c r="AN21">
        <f t="shared" ref="AN21:AO21" si="23">AM21*1000</f>
        <v>0.16887870833333332</v>
      </c>
      <c r="AO21">
        <f t="shared" si="23"/>
        <v>168.87870833333332</v>
      </c>
      <c r="AP21">
        <f t="shared" si="6"/>
        <v>2.8146451388888889</v>
      </c>
      <c r="AR21">
        <v>14</v>
      </c>
      <c r="AS21">
        <v>13.8</v>
      </c>
      <c r="AT21">
        <v>4.0530890000000002E-3</v>
      </c>
      <c r="AU21" t="s">
        <v>62</v>
      </c>
      <c r="AV21" t="s">
        <v>56</v>
      </c>
      <c r="AW21" t="s">
        <v>57</v>
      </c>
      <c r="AX21">
        <v>1</v>
      </c>
      <c r="AY21" t="s">
        <v>58</v>
      </c>
    </row>
    <row r="22" spans="1:51" x14ac:dyDescent="0.3">
      <c r="A22" s="1">
        <v>45049</v>
      </c>
      <c r="B22" s="2">
        <v>0.37222222222222223</v>
      </c>
      <c r="C22">
        <v>14</v>
      </c>
      <c r="D22" t="s">
        <v>34</v>
      </c>
      <c r="E22">
        <v>9.09</v>
      </c>
      <c r="F22">
        <v>6.8</v>
      </c>
      <c r="G22" s="3">
        <v>14.4</v>
      </c>
      <c r="H22" s="3">
        <v>15.3</v>
      </c>
      <c r="I22" s="2">
        <v>0.41597222222222219</v>
      </c>
      <c r="J22">
        <f>VLOOKUP(D22,Fish_Container_info!$A$2:$E$20,4)</f>
        <v>3.4</v>
      </c>
      <c r="K22">
        <f>VLOOKUP(D22,Fish_Container_info!$A$2:$D$20,2)</f>
        <v>1</v>
      </c>
      <c r="L22">
        <f>VLOOKUP(D22,Fish_Container_info!$A$2:$D$20,3)</f>
        <v>76</v>
      </c>
      <c r="M22">
        <f>VLOOKUP(C22,Fish_Container_info!$G$2:$H$45,2)</f>
        <v>1370</v>
      </c>
      <c r="N22">
        <v>2</v>
      </c>
      <c r="O22" s="2">
        <f>I22-B22</f>
        <v>4.3749999999999956E-2</v>
      </c>
      <c r="P22" s="5">
        <f t="shared" si="0"/>
        <v>4.3749999999999956E-2</v>
      </c>
      <c r="Q22" s="5">
        <f t="shared" si="3"/>
        <v>0.90000000000000036</v>
      </c>
      <c r="R22" s="4">
        <f>E22-F22</f>
        <v>2.29</v>
      </c>
      <c r="S22" s="5">
        <f t="shared" si="1"/>
        <v>3.1373E-3</v>
      </c>
      <c r="T22" s="5">
        <f t="shared" si="2"/>
        <v>9.435488721804521E-4</v>
      </c>
      <c r="U22" s="3">
        <f>AVERAGE(G22:H22)</f>
        <v>14.850000000000001</v>
      </c>
      <c r="V22" s="5">
        <v>5.3118306878306935E-3</v>
      </c>
      <c r="AM22">
        <f t="shared" si="4"/>
        <v>1.9683125000000002E-4</v>
      </c>
      <c r="AN22">
        <f t="shared" ref="AN22:AO22" si="24">AM22*1000</f>
        <v>0.19683125000000001</v>
      </c>
      <c r="AO22">
        <f t="shared" si="24"/>
        <v>196.83125000000001</v>
      </c>
      <c r="AP22">
        <f t="shared" si="6"/>
        <v>3.2805208333333336</v>
      </c>
      <c r="AR22">
        <v>15</v>
      </c>
      <c r="AS22">
        <v>14.8</v>
      </c>
      <c r="AT22">
        <v>4.7239500000000002E-3</v>
      </c>
      <c r="AU22" t="s">
        <v>60</v>
      </c>
      <c r="AV22" t="s">
        <v>56</v>
      </c>
      <c r="AW22" t="s">
        <v>57</v>
      </c>
      <c r="AX22">
        <v>2</v>
      </c>
      <c r="AY22" t="s">
        <v>58</v>
      </c>
    </row>
    <row r="23" spans="1:51" x14ac:dyDescent="0.3">
      <c r="A23" s="1">
        <v>45049</v>
      </c>
      <c r="B23" s="2">
        <v>0.3743055555555555</v>
      </c>
      <c r="C23">
        <v>5</v>
      </c>
      <c r="D23" t="s">
        <v>35</v>
      </c>
      <c r="E23">
        <v>8.14</v>
      </c>
      <c r="F23">
        <v>6.62</v>
      </c>
      <c r="G23" s="3">
        <v>14.2</v>
      </c>
      <c r="H23" s="3">
        <v>15.1</v>
      </c>
      <c r="I23" s="2">
        <v>0.41805555555555557</v>
      </c>
      <c r="J23">
        <f>VLOOKUP(D23,Fish_Container_info!$A$2:$E$20,4)</f>
        <v>3.4</v>
      </c>
      <c r="K23">
        <f>VLOOKUP(D23,Fish_Container_info!$A$2:$D$20,2)</f>
        <v>1</v>
      </c>
      <c r="L23">
        <f>VLOOKUP(D23,Fish_Container_info!$A$2:$D$20,3)</f>
        <v>76</v>
      </c>
      <c r="M23">
        <f>VLOOKUP(C23,Fish_Container_info!$G$2:$H$45,2)</f>
        <v>3690</v>
      </c>
      <c r="N23">
        <v>2</v>
      </c>
      <c r="O23" s="2">
        <f>I23-B23</f>
        <v>4.3750000000000067E-2</v>
      </c>
      <c r="P23" s="5">
        <f t="shared" si="0"/>
        <v>4.3750000000000067E-2</v>
      </c>
      <c r="Q23" s="5">
        <f t="shared" si="3"/>
        <v>0.90000000000000036</v>
      </c>
      <c r="R23" s="4">
        <f>E23-F23</f>
        <v>1.5200000000000005</v>
      </c>
      <c r="S23" s="5">
        <f t="shared" si="1"/>
        <v>5.6088000000000015E-3</v>
      </c>
      <c r="T23" s="5">
        <f t="shared" si="2"/>
        <v>1.6868571428571408E-3</v>
      </c>
      <c r="U23" s="3">
        <f>AVERAGE(G23:H23)</f>
        <v>14.649999999999999</v>
      </c>
      <c r="V23" s="5">
        <v>3.7159751552794987E-3</v>
      </c>
      <c r="AM23">
        <f t="shared" si="4"/>
        <v>2.2132629166666669E-4</v>
      </c>
      <c r="AN23">
        <f t="shared" ref="AN23:AO23" si="25">AM23*1000</f>
        <v>0.2213262916666667</v>
      </c>
      <c r="AO23">
        <f t="shared" si="25"/>
        <v>221.32629166666669</v>
      </c>
      <c r="AP23">
        <f t="shared" si="6"/>
        <v>3.6887715277777784</v>
      </c>
      <c r="AR23">
        <v>15</v>
      </c>
      <c r="AS23">
        <v>14.85</v>
      </c>
      <c r="AT23">
        <v>5.3118310000000004E-3</v>
      </c>
      <c r="AU23" t="s">
        <v>61</v>
      </c>
      <c r="AV23" t="s">
        <v>56</v>
      </c>
      <c r="AW23" t="s">
        <v>57</v>
      </c>
      <c r="AX23">
        <v>2</v>
      </c>
      <c r="AY23" t="s">
        <v>58</v>
      </c>
    </row>
    <row r="24" spans="1:51" x14ac:dyDescent="0.3">
      <c r="A24" s="1">
        <v>45049</v>
      </c>
      <c r="B24" s="2">
        <v>0.48055555555555557</v>
      </c>
      <c r="C24">
        <v>13</v>
      </c>
      <c r="D24" t="s">
        <v>33</v>
      </c>
      <c r="E24">
        <v>8.7799999999999994</v>
      </c>
      <c r="F24">
        <v>6.78</v>
      </c>
      <c r="G24" s="3">
        <v>17.2</v>
      </c>
      <c r="H24" s="3">
        <v>18.3</v>
      </c>
      <c r="I24" s="2">
        <v>0.51041666666666663</v>
      </c>
      <c r="J24" t="e">
        <f>VLOOKUP(D24,Fish_Container_info!$A$2:$E$20,4)</f>
        <v>#N/A</v>
      </c>
      <c r="K24" t="e">
        <f>VLOOKUP(D24,Fish_Container_info!$A$2:$D$20,2)</f>
        <v>#N/A</v>
      </c>
      <c r="L24" t="e">
        <f>VLOOKUP(D24,Fish_Container_info!$A$2:$D$20,3)</f>
        <v>#N/A</v>
      </c>
      <c r="M24">
        <f>VLOOKUP(C24,Fish_Container_info!$G$2:$H$45,2)</f>
        <v>1370</v>
      </c>
      <c r="N24">
        <v>3</v>
      </c>
      <c r="O24" s="2">
        <f>I24-B24</f>
        <v>2.9861111111111061E-2</v>
      </c>
      <c r="P24" s="5">
        <f t="shared" si="0"/>
        <v>2.9861111111111061E-2</v>
      </c>
      <c r="Q24" s="5">
        <f t="shared" si="3"/>
        <v>1.1000000000000014</v>
      </c>
      <c r="R24" s="4">
        <f>E24-F24</f>
        <v>1.9999999999999991</v>
      </c>
      <c r="S24" s="5">
        <f t="shared" si="1"/>
        <v>2.7399999999999989E-3</v>
      </c>
      <c r="T24" s="5" t="e">
        <f t="shared" si="2"/>
        <v>#N/A</v>
      </c>
      <c r="U24" s="3">
        <f>AVERAGE(G24:H24)</f>
        <v>17.75</v>
      </c>
      <c r="V24" s="5">
        <v>7.0583184257602951E-3</v>
      </c>
      <c r="AM24">
        <f t="shared" si="4"/>
        <v>1.5483229166666666E-4</v>
      </c>
      <c r="AN24">
        <f t="shared" ref="AN24:AO24" si="26">AM24*1000</f>
        <v>0.15483229166666665</v>
      </c>
      <c r="AO24">
        <f t="shared" si="26"/>
        <v>154.83229166666666</v>
      </c>
      <c r="AP24">
        <f t="shared" si="6"/>
        <v>2.5805381944444443</v>
      </c>
      <c r="AR24">
        <v>15</v>
      </c>
      <c r="AS24">
        <v>14.65</v>
      </c>
      <c r="AT24">
        <v>3.7159749999999998E-3</v>
      </c>
      <c r="AU24" t="s">
        <v>62</v>
      </c>
      <c r="AV24" t="s">
        <v>56</v>
      </c>
      <c r="AW24" t="s">
        <v>57</v>
      </c>
      <c r="AX24">
        <v>2</v>
      </c>
      <c r="AY24" t="s">
        <v>58</v>
      </c>
    </row>
    <row r="25" spans="1:51" x14ac:dyDescent="0.3">
      <c r="A25" s="1">
        <v>45049</v>
      </c>
      <c r="B25" s="2">
        <v>0.4826388888888889</v>
      </c>
      <c r="C25">
        <v>14</v>
      </c>
      <c r="D25" t="s">
        <v>34</v>
      </c>
      <c r="E25">
        <v>8.44</v>
      </c>
      <c r="F25">
        <v>6.43</v>
      </c>
      <c r="G25" s="3">
        <v>17.3</v>
      </c>
      <c r="H25" s="3">
        <v>18.399999999999999</v>
      </c>
      <c r="I25" s="2">
        <v>0.51250000000000007</v>
      </c>
      <c r="J25">
        <f>VLOOKUP(D25,Fish_Container_info!$A$2:$E$20,4)</f>
        <v>3.4</v>
      </c>
      <c r="K25">
        <f>VLOOKUP(D25,Fish_Container_info!$A$2:$D$20,2)</f>
        <v>1</v>
      </c>
      <c r="L25">
        <f>VLOOKUP(D25,Fish_Container_info!$A$2:$D$20,3)</f>
        <v>76</v>
      </c>
      <c r="M25">
        <f>VLOOKUP(C25,Fish_Container_info!$G$2:$H$45,2)</f>
        <v>1370</v>
      </c>
      <c r="N25">
        <v>3</v>
      </c>
      <c r="O25" s="2">
        <f>I25-B25</f>
        <v>2.9861111111111172E-2</v>
      </c>
      <c r="P25" s="5">
        <f t="shared" si="0"/>
        <v>2.9861111111111172E-2</v>
      </c>
      <c r="Q25" s="5">
        <f t="shared" si="3"/>
        <v>1.0999999999999979</v>
      </c>
      <c r="R25" s="4">
        <f>E25-F25</f>
        <v>2.0099999999999998</v>
      </c>
      <c r="S25" s="5">
        <f t="shared" si="1"/>
        <v>2.7537E-3</v>
      </c>
      <c r="T25" s="5">
        <f t="shared" si="2"/>
        <v>1.21338066095471E-3</v>
      </c>
      <c r="U25" s="3">
        <f>AVERAGE(G25:H25)</f>
        <v>17.850000000000001</v>
      </c>
      <c r="V25" s="5">
        <v>6.8308837209302186E-3</v>
      </c>
      <c r="AM25">
        <f t="shared" si="4"/>
        <v>2.9409658333333334E-4</v>
      </c>
      <c r="AN25">
        <f t="shared" ref="AN25:AO25" si="27">AM25*1000</f>
        <v>0.29409658333333333</v>
      </c>
      <c r="AO25">
        <f t="shared" si="27"/>
        <v>294.09658333333334</v>
      </c>
      <c r="AP25">
        <f t="shared" si="6"/>
        <v>4.9016097222222221</v>
      </c>
      <c r="AR25">
        <v>18</v>
      </c>
      <c r="AS25">
        <v>17.75</v>
      </c>
      <c r="AT25">
        <v>7.0583180000000001E-3</v>
      </c>
      <c r="AU25" t="s">
        <v>60</v>
      </c>
      <c r="AV25" t="s">
        <v>56</v>
      </c>
      <c r="AW25" t="s">
        <v>57</v>
      </c>
      <c r="AX25">
        <v>3</v>
      </c>
      <c r="AY25" t="s">
        <v>58</v>
      </c>
    </row>
    <row r="26" spans="1:51" x14ac:dyDescent="0.3">
      <c r="A26" s="1">
        <v>45049</v>
      </c>
      <c r="B26" s="2">
        <v>0.48541666666666666</v>
      </c>
      <c r="C26">
        <v>5</v>
      </c>
      <c r="D26" t="s">
        <v>35</v>
      </c>
      <c r="E26">
        <v>8.32</v>
      </c>
      <c r="F26">
        <v>7.05</v>
      </c>
      <c r="G26" s="3">
        <v>16.5</v>
      </c>
      <c r="H26" s="3">
        <v>17.399999999999999</v>
      </c>
      <c r="I26" s="2">
        <v>0.51388888888888895</v>
      </c>
      <c r="J26">
        <f>VLOOKUP(D26,Fish_Container_info!$A$2:$E$20,4)</f>
        <v>3.4</v>
      </c>
      <c r="K26">
        <f>VLOOKUP(D26,Fish_Container_info!$A$2:$D$20,2)</f>
        <v>1</v>
      </c>
      <c r="L26">
        <f>VLOOKUP(D26,Fish_Container_info!$A$2:$D$20,3)</f>
        <v>76</v>
      </c>
      <c r="M26">
        <f>VLOOKUP(C26,Fish_Container_info!$G$2:$H$45,2)</f>
        <v>3690</v>
      </c>
      <c r="N26">
        <v>3</v>
      </c>
      <c r="O26" s="2">
        <f>I26-B26</f>
        <v>2.8472222222222288E-2</v>
      </c>
      <c r="P26" s="5">
        <f t="shared" si="0"/>
        <v>2.8472222222222288E-2</v>
      </c>
      <c r="Q26" s="5">
        <f t="shared" si="3"/>
        <v>0.89999999999999858</v>
      </c>
      <c r="R26" s="4">
        <f>E26-F26</f>
        <v>1.2700000000000005</v>
      </c>
      <c r="S26" s="5">
        <f t="shared" si="1"/>
        <v>4.6863000000000017E-3</v>
      </c>
      <c r="T26" s="5">
        <f t="shared" si="2"/>
        <v>2.1656842105263118E-3</v>
      </c>
      <c r="U26" s="3">
        <f>AVERAGE(G26:H26)</f>
        <v>16.95</v>
      </c>
      <c r="V26" s="5">
        <v>4.7707826086956428E-3</v>
      </c>
      <c r="AM26">
        <f t="shared" si="4"/>
        <v>2.8462016666666666E-4</v>
      </c>
      <c r="AN26">
        <f t="shared" ref="AN26:AO26" si="28">AM26*1000</f>
        <v>0.28462016666666667</v>
      </c>
      <c r="AO26">
        <f t="shared" si="28"/>
        <v>284.62016666666665</v>
      </c>
      <c r="AP26">
        <f t="shared" si="6"/>
        <v>4.7436694444444445</v>
      </c>
      <c r="AR26">
        <v>18</v>
      </c>
      <c r="AS26">
        <v>17.850000000000001</v>
      </c>
      <c r="AT26">
        <v>6.8308839999999997E-3</v>
      </c>
      <c r="AU26" t="s">
        <v>61</v>
      </c>
      <c r="AV26" t="s">
        <v>56</v>
      </c>
      <c r="AW26" t="s">
        <v>57</v>
      </c>
      <c r="AX26">
        <v>3</v>
      </c>
      <c r="AY26" t="s">
        <v>58</v>
      </c>
    </row>
    <row r="27" spans="1:51" x14ac:dyDescent="0.3">
      <c r="A27" s="1">
        <v>45049</v>
      </c>
      <c r="B27" s="2">
        <v>0.5493055555555556</v>
      </c>
      <c r="C27">
        <v>13</v>
      </c>
      <c r="D27" t="s">
        <v>33</v>
      </c>
      <c r="E27">
        <v>7.81</v>
      </c>
      <c r="F27">
        <v>5.2</v>
      </c>
      <c r="G27" s="3">
        <v>20.6</v>
      </c>
      <c r="H27" s="3">
        <v>21.5</v>
      </c>
      <c r="I27" s="2">
        <v>0.57986111111111105</v>
      </c>
      <c r="J27" t="e">
        <f>VLOOKUP(D27,Fish_Container_info!$A$2:$E$20,4)</f>
        <v>#N/A</v>
      </c>
      <c r="K27" t="e">
        <f>VLOOKUP(D27,Fish_Container_info!$A$2:$D$20,2)</f>
        <v>#N/A</v>
      </c>
      <c r="L27" t="e">
        <f>VLOOKUP(D27,Fish_Container_info!$A$2:$D$20,3)</f>
        <v>#N/A</v>
      </c>
      <c r="M27">
        <f>VLOOKUP(C27,Fish_Container_info!$G$2:$H$45,2)</f>
        <v>1370</v>
      </c>
      <c r="N27">
        <v>4</v>
      </c>
      <c r="O27" s="2">
        <f>I27-B27</f>
        <v>3.0555555555555447E-2</v>
      </c>
      <c r="P27" s="5">
        <f t="shared" si="0"/>
        <v>3.0555555555555447E-2</v>
      </c>
      <c r="Q27" s="5">
        <f t="shared" si="3"/>
        <v>0.89999999999999858</v>
      </c>
      <c r="R27" s="4">
        <f>E27-F27</f>
        <v>2.6099999999999994</v>
      </c>
      <c r="S27" s="5">
        <f t="shared" si="1"/>
        <v>3.5756999999999994E-3</v>
      </c>
      <c r="T27" s="5" t="e">
        <f t="shared" si="2"/>
        <v>#N/A</v>
      </c>
      <c r="U27" s="3">
        <f>AVERAGE(G27:H27)</f>
        <v>21.05</v>
      </c>
      <c r="V27" s="5">
        <v>9.0017622377622682E-3</v>
      </c>
      <c r="AM27">
        <f t="shared" si="4"/>
        <v>1.9878262499999999E-4</v>
      </c>
      <c r="AN27">
        <f t="shared" ref="AN27:AO27" si="29">AM27*1000</f>
        <v>0.19878262499999999</v>
      </c>
      <c r="AO27">
        <f t="shared" si="29"/>
        <v>198.782625</v>
      </c>
      <c r="AP27">
        <f t="shared" si="6"/>
        <v>3.3130437499999998</v>
      </c>
      <c r="AR27">
        <v>17</v>
      </c>
      <c r="AS27">
        <v>16.95</v>
      </c>
      <c r="AT27">
        <v>4.7707829999999998E-3</v>
      </c>
      <c r="AU27" t="s">
        <v>62</v>
      </c>
      <c r="AV27" t="s">
        <v>56</v>
      </c>
      <c r="AW27" t="s">
        <v>57</v>
      </c>
      <c r="AX27">
        <v>3</v>
      </c>
      <c r="AY27" t="s">
        <v>58</v>
      </c>
    </row>
    <row r="28" spans="1:51" x14ac:dyDescent="0.3">
      <c r="A28" s="1">
        <v>45049</v>
      </c>
      <c r="B28" s="2">
        <v>0.55138888888888882</v>
      </c>
      <c r="C28">
        <v>14</v>
      </c>
      <c r="D28" t="s">
        <v>34</v>
      </c>
      <c r="E28">
        <v>7.88</v>
      </c>
      <c r="F28">
        <v>5.16</v>
      </c>
      <c r="G28" s="3">
        <v>20.5</v>
      </c>
      <c r="H28" s="3">
        <v>21.4</v>
      </c>
      <c r="I28" s="2">
        <v>0.58124999999999993</v>
      </c>
      <c r="J28">
        <f>VLOOKUP(D28,Fish_Container_info!$A$2:$E$20,4)</f>
        <v>3.4</v>
      </c>
      <c r="K28">
        <f>VLOOKUP(D28,Fish_Container_info!$A$2:$D$20,2)</f>
        <v>1</v>
      </c>
      <c r="L28">
        <f>VLOOKUP(D28,Fish_Container_info!$A$2:$D$20,3)</f>
        <v>76</v>
      </c>
      <c r="M28">
        <f>VLOOKUP(C28,Fish_Container_info!$G$2:$H$45,2)</f>
        <v>1370</v>
      </c>
      <c r="N28">
        <v>4</v>
      </c>
      <c r="O28" s="2">
        <f>I28-B28</f>
        <v>2.9861111111111116E-2</v>
      </c>
      <c r="P28" s="5">
        <f t="shared" si="0"/>
        <v>2.9861111111111116E-2</v>
      </c>
      <c r="Q28" s="5">
        <f t="shared" si="3"/>
        <v>0.89999999999999858</v>
      </c>
      <c r="R28" s="4">
        <f>E28-F28</f>
        <v>2.7199999999999998</v>
      </c>
      <c r="S28" s="5">
        <f t="shared" si="1"/>
        <v>3.7263999999999999E-3</v>
      </c>
      <c r="T28" s="5">
        <f t="shared" si="2"/>
        <v>1.6419877600979188E-3</v>
      </c>
      <c r="U28" s="3">
        <f>AVERAGE(G28:H28)</f>
        <v>20.95</v>
      </c>
      <c r="V28" s="5">
        <v>9.2437829457364326E-3</v>
      </c>
      <c r="AM28">
        <f t="shared" si="4"/>
        <v>3.7507341666666668E-4</v>
      </c>
      <c r="AN28">
        <f t="shared" ref="AN28:AO28" si="30">AM28*1000</f>
        <v>0.37507341666666666</v>
      </c>
      <c r="AO28">
        <f t="shared" si="30"/>
        <v>375.07341666666667</v>
      </c>
      <c r="AP28">
        <f t="shared" si="6"/>
        <v>6.2512236111111115</v>
      </c>
      <c r="AR28">
        <v>21</v>
      </c>
      <c r="AS28">
        <v>21.05</v>
      </c>
      <c r="AT28">
        <v>9.001762E-3</v>
      </c>
      <c r="AU28" t="s">
        <v>60</v>
      </c>
      <c r="AV28" t="s">
        <v>56</v>
      </c>
      <c r="AW28" t="s">
        <v>57</v>
      </c>
      <c r="AX28">
        <v>4</v>
      </c>
      <c r="AY28" t="s">
        <v>58</v>
      </c>
    </row>
    <row r="29" spans="1:51" x14ac:dyDescent="0.3">
      <c r="A29" s="1">
        <v>45049</v>
      </c>
      <c r="B29" s="2">
        <v>0.55277777777777781</v>
      </c>
      <c r="C29">
        <v>5</v>
      </c>
      <c r="D29" t="s">
        <v>35</v>
      </c>
      <c r="E29">
        <v>7.56</v>
      </c>
      <c r="F29">
        <v>5.91</v>
      </c>
      <c r="G29" s="3">
        <v>18.5</v>
      </c>
      <c r="H29" s="3">
        <v>19.399999999999999</v>
      </c>
      <c r="I29" s="2">
        <v>0.58263888888888882</v>
      </c>
      <c r="J29">
        <f>VLOOKUP(D29,Fish_Container_info!$A$2:$E$20,4)</f>
        <v>3.4</v>
      </c>
      <c r="K29">
        <f>VLOOKUP(D29,Fish_Container_info!$A$2:$D$20,2)</f>
        <v>1</v>
      </c>
      <c r="L29">
        <f>VLOOKUP(D29,Fish_Container_info!$A$2:$D$20,3)</f>
        <v>76</v>
      </c>
      <c r="M29">
        <f>VLOOKUP(C29,Fish_Container_info!$G$2:$H$45,2)</f>
        <v>3690</v>
      </c>
      <c r="N29">
        <v>4</v>
      </c>
      <c r="O29" s="2">
        <f>I29-B29</f>
        <v>2.9861111111111005E-2</v>
      </c>
      <c r="P29" s="5">
        <f t="shared" si="0"/>
        <v>2.9861111111111002E-2</v>
      </c>
      <c r="Q29" s="5">
        <f t="shared" si="3"/>
        <v>0.89999999999999858</v>
      </c>
      <c r="R29" s="4">
        <f>E29-F29</f>
        <v>1.6499999999999995</v>
      </c>
      <c r="S29" s="5">
        <f t="shared" si="1"/>
        <v>6.0884999999999984E-3</v>
      </c>
      <c r="T29" s="5">
        <f t="shared" si="2"/>
        <v>2.682815177478589E-3</v>
      </c>
      <c r="U29" s="3">
        <f>AVERAGE(G29:H29)</f>
        <v>18.95</v>
      </c>
      <c r="V29" s="5">
        <v>5.9099696663296461E-3</v>
      </c>
      <c r="AM29">
        <f t="shared" si="4"/>
        <v>3.8515762500000001E-4</v>
      </c>
      <c r="AN29">
        <f t="shared" ref="AN29:AO29" si="31">AM29*1000</f>
        <v>0.385157625</v>
      </c>
      <c r="AO29">
        <f t="shared" si="31"/>
        <v>385.157625</v>
      </c>
      <c r="AP29">
        <f t="shared" si="6"/>
        <v>6.4192937499999996</v>
      </c>
      <c r="AR29">
        <v>21</v>
      </c>
      <c r="AS29">
        <v>20.95</v>
      </c>
      <c r="AT29">
        <v>9.2437830000000002E-3</v>
      </c>
      <c r="AU29" t="s">
        <v>61</v>
      </c>
      <c r="AV29" t="s">
        <v>56</v>
      </c>
      <c r="AW29" t="s">
        <v>57</v>
      </c>
      <c r="AX29">
        <v>4</v>
      </c>
      <c r="AY29" t="s">
        <v>58</v>
      </c>
    </row>
    <row r="30" spans="1:51" x14ac:dyDescent="0.3">
      <c r="A30" s="1">
        <v>45049</v>
      </c>
      <c r="B30" s="2">
        <v>0.62222222222222223</v>
      </c>
      <c r="C30">
        <v>13</v>
      </c>
      <c r="D30" t="s">
        <v>33</v>
      </c>
      <c r="E30">
        <v>7.36</v>
      </c>
      <c r="F30">
        <v>4.53</v>
      </c>
      <c r="G30" s="3">
        <v>22.1</v>
      </c>
      <c r="H30" s="3">
        <v>22.7</v>
      </c>
      <c r="I30" s="2">
        <v>0.65277777777777779</v>
      </c>
      <c r="J30" t="e">
        <f>VLOOKUP(D30,Fish_Container_info!$A$2:$E$20,4)</f>
        <v>#N/A</v>
      </c>
      <c r="K30" t="e">
        <f>VLOOKUP(D30,Fish_Container_info!$A$2:$D$20,2)</f>
        <v>#N/A</v>
      </c>
      <c r="L30" t="e">
        <f>VLOOKUP(D30,Fish_Container_info!$A$2:$D$20,3)</f>
        <v>#N/A</v>
      </c>
      <c r="M30">
        <f>VLOOKUP(C30,Fish_Container_info!$G$2:$H$45,2)</f>
        <v>1370</v>
      </c>
      <c r="N30">
        <v>5</v>
      </c>
      <c r="O30" s="2">
        <f>I30-B30</f>
        <v>3.0555555555555558E-2</v>
      </c>
      <c r="P30" s="5">
        <f t="shared" si="0"/>
        <v>3.0555555555555555E-2</v>
      </c>
      <c r="Q30" s="5">
        <f t="shared" si="3"/>
        <v>0.59999999999999787</v>
      </c>
      <c r="R30" s="4">
        <f>E30-F30</f>
        <v>2.83</v>
      </c>
      <c r="S30" s="5">
        <f t="shared" si="1"/>
        <v>3.8771000000000005E-3</v>
      </c>
      <c r="T30" s="5" t="e">
        <f t="shared" si="2"/>
        <v>#N/A</v>
      </c>
      <c r="U30" s="3">
        <f>AVERAGE(G30:H30)</f>
        <v>22.4</v>
      </c>
      <c r="V30" s="5">
        <v>9.7605314685314699E-3</v>
      </c>
      <c r="AM30">
        <f t="shared" si="4"/>
        <v>2.4624875E-4</v>
      </c>
      <c r="AN30">
        <f t="shared" ref="AN30:AO30" si="32">AM30*1000</f>
        <v>0.24624875000000002</v>
      </c>
      <c r="AO30">
        <f t="shared" si="32"/>
        <v>246.24875000000003</v>
      </c>
      <c r="AP30">
        <f t="shared" si="6"/>
        <v>4.1041458333333338</v>
      </c>
      <c r="AR30">
        <v>19</v>
      </c>
      <c r="AS30">
        <v>18.95</v>
      </c>
      <c r="AT30">
        <v>5.9099699999999996E-3</v>
      </c>
      <c r="AU30" t="s">
        <v>62</v>
      </c>
      <c r="AV30" t="s">
        <v>56</v>
      </c>
      <c r="AW30" t="s">
        <v>57</v>
      </c>
      <c r="AX30">
        <v>4</v>
      </c>
      <c r="AY30" t="s">
        <v>58</v>
      </c>
    </row>
    <row r="31" spans="1:51" x14ac:dyDescent="0.3">
      <c r="A31" s="1">
        <v>45049</v>
      </c>
      <c r="B31" s="2">
        <v>0.62361111111111112</v>
      </c>
      <c r="C31">
        <v>14</v>
      </c>
      <c r="D31" t="s">
        <v>34</v>
      </c>
      <c r="E31">
        <v>7.38</v>
      </c>
      <c r="F31">
        <v>4.33</v>
      </c>
      <c r="G31" s="3">
        <v>21.9</v>
      </c>
      <c r="H31" s="3">
        <v>22.5</v>
      </c>
      <c r="I31" s="2">
        <v>0.65486111111111112</v>
      </c>
      <c r="J31">
        <f>VLOOKUP(D31,Fish_Container_info!$A$2:$E$20,4)</f>
        <v>3.4</v>
      </c>
      <c r="K31">
        <f>VLOOKUP(D31,Fish_Container_info!$A$2:$D$20,2)</f>
        <v>1</v>
      </c>
      <c r="L31">
        <f>VLOOKUP(D31,Fish_Container_info!$A$2:$D$20,3)</f>
        <v>76</v>
      </c>
      <c r="M31">
        <f>VLOOKUP(C31,Fish_Container_info!$G$2:$H$45,2)</f>
        <v>1370</v>
      </c>
      <c r="N31">
        <v>5</v>
      </c>
      <c r="O31" s="2">
        <f>I31-B31</f>
        <v>3.125E-2</v>
      </c>
      <c r="P31" s="5">
        <f t="shared" si="0"/>
        <v>3.125E-2</v>
      </c>
      <c r="Q31" s="5">
        <f t="shared" si="3"/>
        <v>0.60000000000000142</v>
      </c>
      <c r="R31" s="4">
        <f>E31-F31</f>
        <v>3.05</v>
      </c>
      <c r="S31" s="5">
        <f t="shared" si="1"/>
        <v>4.1784999999999999E-3</v>
      </c>
      <c r="T31" s="5">
        <f t="shared" si="2"/>
        <v>1.7593684210526316E-3</v>
      </c>
      <c r="U31" s="3">
        <f>AVERAGE(G31:H31)</f>
        <v>22.2</v>
      </c>
      <c r="V31" s="5">
        <v>9.9045925925925916E-3</v>
      </c>
      <c r="AM31">
        <f t="shared" si="4"/>
        <v>4.0668879166666662E-4</v>
      </c>
      <c r="AN31">
        <f t="shared" ref="AN31:AO31" si="33">AM31*1000</f>
        <v>0.4066887916666666</v>
      </c>
      <c r="AO31">
        <f t="shared" si="33"/>
        <v>406.68879166666659</v>
      </c>
      <c r="AP31">
        <f t="shared" si="6"/>
        <v>6.7781465277777766</v>
      </c>
      <c r="AR31">
        <v>22</v>
      </c>
      <c r="AS31">
        <v>22.4</v>
      </c>
      <c r="AT31">
        <v>9.7605309999999994E-3</v>
      </c>
      <c r="AU31" t="s">
        <v>60</v>
      </c>
      <c r="AV31" t="s">
        <v>56</v>
      </c>
      <c r="AW31" t="s">
        <v>57</v>
      </c>
      <c r="AX31">
        <v>5</v>
      </c>
      <c r="AY31" t="s">
        <v>58</v>
      </c>
    </row>
    <row r="32" spans="1:51" x14ac:dyDescent="0.3">
      <c r="A32" s="1">
        <v>45049</v>
      </c>
      <c r="B32" s="2">
        <v>0.62569444444444444</v>
      </c>
      <c r="C32">
        <v>5</v>
      </c>
      <c r="D32" t="s">
        <v>35</v>
      </c>
      <c r="E32">
        <v>6.53</v>
      </c>
      <c r="F32">
        <v>4.57</v>
      </c>
      <c r="G32" s="3">
        <v>20.399999999999999</v>
      </c>
      <c r="H32" s="3">
        <v>21</v>
      </c>
      <c r="I32" s="2">
        <v>0.65763888888888888</v>
      </c>
      <c r="J32">
        <f>VLOOKUP(D32,Fish_Container_info!$A$2:$E$20,4)</f>
        <v>3.4</v>
      </c>
      <c r="K32">
        <f>VLOOKUP(D32,Fish_Container_info!$A$2:$D$20,2)</f>
        <v>1</v>
      </c>
      <c r="L32">
        <f>VLOOKUP(D32,Fish_Container_info!$A$2:$D$20,3)</f>
        <v>76</v>
      </c>
      <c r="M32">
        <f>VLOOKUP(C32,Fish_Container_info!$G$2:$H$45,2)</f>
        <v>3690</v>
      </c>
      <c r="N32">
        <v>5</v>
      </c>
      <c r="O32" s="2">
        <f>I32-B32</f>
        <v>3.1944444444444442E-2</v>
      </c>
      <c r="P32" s="5">
        <f t="shared" si="0"/>
        <v>3.1944444444444442E-2</v>
      </c>
      <c r="Q32" s="5">
        <f t="shared" si="3"/>
        <v>0.60000000000000142</v>
      </c>
      <c r="R32" s="4">
        <f>E32-F32</f>
        <v>1.96</v>
      </c>
      <c r="S32" s="5">
        <f t="shared" si="1"/>
        <v>7.2323999999999999E-3</v>
      </c>
      <c r="T32" s="5">
        <f t="shared" si="2"/>
        <v>2.9790205949656754E-3</v>
      </c>
      <c r="U32" s="3">
        <f>AVERAGE(G32:H32)</f>
        <v>20.7</v>
      </c>
      <c r="V32" s="5">
        <v>6.5624801512287334E-3</v>
      </c>
      <c r="AM32">
        <f t="shared" si="4"/>
        <v>4.1269137499999999E-4</v>
      </c>
      <c r="AN32">
        <f t="shared" ref="AN32:AO32" si="34">AM32*1000</f>
        <v>0.41269137499999997</v>
      </c>
      <c r="AO32">
        <f t="shared" si="34"/>
        <v>412.69137499999999</v>
      </c>
      <c r="AP32">
        <f t="shared" si="6"/>
        <v>6.8781895833333335</v>
      </c>
      <c r="AR32">
        <v>22</v>
      </c>
      <c r="AS32">
        <v>22.2</v>
      </c>
      <c r="AT32">
        <v>9.9045929999999997E-3</v>
      </c>
      <c r="AU32" t="s">
        <v>61</v>
      </c>
      <c r="AV32" t="s">
        <v>56</v>
      </c>
      <c r="AW32" t="s">
        <v>57</v>
      </c>
      <c r="AX32">
        <v>5</v>
      </c>
      <c r="AY32" t="s">
        <v>58</v>
      </c>
    </row>
    <row r="33" spans="1:51" x14ac:dyDescent="0.3">
      <c r="A33" s="1">
        <v>45049</v>
      </c>
      <c r="B33" s="2">
        <v>0.69861111111111107</v>
      </c>
      <c r="C33">
        <v>13</v>
      </c>
      <c r="D33" t="s">
        <v>33</v>
      </c>
      <c r="E33">
        <v>7.77</v>
      </c>
      <c r="F33">
        <v>4.92</v>
      </c>
      <c r="G33" s="3">
        <v>23</v>
      </c>
      <c r="H33" s="3">
        <v>22.9</v>
      </c>
      <c r="I33" s="2">
        <v>0.72499999999999998</v>
      </c>
      <c r="J33" t="e">
        <f>VLOOKUP(D33,Fish_Container_info!$A$2:$E$20,4)</f>
        <v>#N/A</v>
      </c>
      <c r="K33" t="e">
        <f>VLOOKUP(D33,Fish_Container_info!$A$2:$D$20,2)</f>
        <v>#N/A</v>
      </c>
      <c r="L33" t="e">
        <f>VLOOKUP(D33,Fish_Container_info!$A$2:$D$20,3)</f>
        <v>#N/A</v>
      </c>
      <c r="M33">
        <f>VLOOKUP(C33,Fish_Container_info!$G$2:$H$45,2)</f>
        <v>1370</v>
      </c>
      <c r="N33">
        <v>6</v>
      </c>
      <c r="O33" s="2">
        <f>I33-B33</f>
        <v>2.6388888888888906E-2</v>
      </c>
      <c r="P33" s="5">
        <f t="shared" si="0"/>
        <v>2.638888888888891E-2</v>
      </c>
      <c r="Q33" s="5">
        <f t="shared" si="3"/>
        <v>-0.10000000000000142</v>
      </c>
      <c r="R33" s="4">
        <f>E33-F33</f>
        <v>2.8499999999999996</v>
      </c>
      <c r="S33" s="5">
        <f t="shared" si="1"/>
        <v>3.9044999999999996E-3</v>
      </c>
      <c r="T33" s="5" t="e">
        <f t="shared" si="2"/>
        <v>#N/A</v>
      </c>
      <c r="U33" s="3">
        <f>AVERAGE(G33:H33)</f>
        <v>22.95</v>
      </c>
      <c r="V33" s="5">
        <v>1.1381538461538452E-2</v>
      </c>
      <c r="AM33">
        <f t="shared" si="4"/>
        <v>2.7343666666666664E-4</v>
      </c>
      <c r="AN33">
        <f t="shared" ref="AN33:AO33" si="35">AM33*1000</f>
        <v>0.27343666666666666</v>
      </c>
      <c r="AO33">
        <f t="shared" si="35"/>
        <v>273.43666666666667</v>
      </c>
      <c r="AP33">
        <f t="shared" si="6"/>
        <v>4.5572777777777782</v>
      </c>
      <c r="AR33">
        <v>21</v>
      </c>
      <c r="AS33">
        <v>20.7</v>
      </c>
      <c r="AT33">
        <v>6.5624799999999999E-3</v>
      </c>
      <c r="AU33" t="s">
        <v>62</v>
      </c>
      <c r="AV33" t="s">
        <v>56</v>
      </c>
      <c r="AW33" t="s">
        <v>57</v>
      </c>
      <c r="AX33">
        <v>5</v>
      </c>
      <c r="AY33" t="s">
        <v>58</v>
      </c>
    </row>
    <row r="34" spans="1:51" x14ac:dyDescent="0.3">
      <c r="A34" s="1">
        <v>45049</v>
      </c>
      <c r="B34" s="2">
        <v>0.7006944444444444</v>
      </c>
      <c r="C34">
        <v>14</v>
      </c>
      <c r="D34" t="s">
        <v>34</v>
      </c>
      <c r="E34">
        <v>7.83</v>
      </c>
      <c r="F34">
        <v>5.04</v>
      </c>
      <c r="G34" s="3">
        <v>23</v>
      </c>
      <c r="H34" s="3">
        <v>23</v>
      </c>
      <c r="I34" s="2">
        <v>0.7270833333333333</v>
      </c>
      <c r="J34">
        <f>VLOOKUP(D34,Fish_Container_info!$A$2:$E$20,4)</f>
        <v>3.4</v>
      </c>
      <c r="K34">
        <f>VLOOKUP(D34,Fish_Container_info!$A$2:$D$20,2)</f>
        <v>1</v>
      </c>
      <c r="L34">
        <f>VLOOKUP(D34,Fish_Container_info!$A$2:$D$20,3)</f>
        <v>76</v>
      </c>
      <c r="M34">
        <f>VLOOKUP(C34,Fish_Container_info!$G$2:$H$45,2)</f>
        <v>1370</v>
      </c>
      <c r="N34">
        <v>6</v>
      </c>
      <c r="O34" s="2">
        <f>I34-B34</f>
        <v>2.6388888888888906E-2</v>
      </c>
      <c r="P34" s="5">
        <f t="shared" ref="P34:P65" si="36">VALUE(O34*24*60)/(24*60)</f>
        <v>2.638888888888891E-2</v>
      </c>
      <c r="Q34" s="5">
        <f t="shared" si="3"/>
        <v>0</v>
      </c>
      <c r="R34" s="4">
        <f>E34-F34</f>
        <v>2.79</v>
      </c>
      <c r="S34" s="5">
        <f t="shared" ref="S34:S65" si="37">R34*(M34/1000)/1000</f>
        <v>3.8223000000000003E-3</v>
      </c>
      <c r="T34" s="5">
        <f t="shared" ref="T34:T65" si="38">(S34/L34)/P34</f>
        <v>1.9058559556786691E-3</v>
      </c>
      <c r="U34" s="3">
        <f>AVERAGE(G34:H34)</f>
        <v>23</v>
      </c>
      <c r="V34" s="5">
        <v>1.072926315789473E-2</v>
      </c>
      <c r="AM34">
        <f t="shared" si="4"/>
        <v>4.7423075E-4</v>
      </c>
      <c r="AN34">
        <f t="shared" ref="AN34:AO34" si="39">AM34*1000</f>
        <v>0.47423074999999998</v>
      </c>
      <c r="AO34">
        <f t="shared" si="39"/>
        <v>474.23075</v>
      </c>
      <c r="AP34">
        <f t="shared" si="6"/>
        <v>7.9038458333333335</v>
      </c>
      <c r="AR34">
        <v>23</v>
      </c>
      <c r="AS34">
        <v>22.95</v>
      </c>
      <c r="AT34">
        <v>1.1381538E-2</v>
      </c>
      <c r="AU34" t="s">
        <v>60</v>
      </c>
      <c r="AV34" t="s">
        <v>56</v>
      </c>
      <c r="AW34" t="s">
        <v>57</v>
      </c>
      <c r="AX34">
        <v>6</v>
      </c>
      <c r="AY34" t="s">
        <v>58</v>
      </c>
    </row>
    <row r="35" spans="1:51" x14ac:dyDescent="0.3">
      <c r="A35" s="1">
        <v>45049</v>
      </c>
      <c r="B35" s="2">
        <v>0.70277777777777783</v>
      </c>
      <c r="C35">
        <v>5</v>
      </c>
      <c r="D35" t="s">
        <v>35</v>
      </c>
      <c r="E35">
        <v>6.07</v>
      </c>
      <c r="F35">
        <v>4.66</v>
      </c>
      <c r="G35" s="3">
        <v>21.7</v>
      </c>
      <c r="H35" s="3">
        <v>21.7</v>
      </c>
      <c r="I35" s="2">
        <v>0.72291666666666676</v>
      </c>
      <c r="J35">
        <f>VLOOKUP(D35,Fish_Container_info!$A$2:$E$20,4)</f>
        <v>3.4</v>
      </c>
      <c r="K35">
        <f>VLOOKUP(D35,Fish_Container_info!$A$2:$D$20,2)</f>
        <v>1</v>
      </c>
      <c r="L35">
        <f>VLOOKUP(D35,Fish_Container_info!$A$2:$D$20,3)</f>
        <v>76</v>
      </c>
      <c r="M35">
        <f>VLOOKUP(C35,Fish_Container_info!$G$2:$H$45,2)</f>
        <v>3690</v>
      </c>
      <c r="N35">
        <v>6</v>
      </c>
      <c r="O35" s="2">
        <f>I35-B35</f>
        <v>2.0138888888888928E-2</v>
      </c>
      <c r="P35" s="5">
        <f t="shared" si="36"/>
        <v>2.0138888888888928E-2</v>
      </c>
      <c r="Q35" s="5">
        <f t="shared" si="3"/>
        <v>0</v>
      </c>
      <c r="R35" s="4">
        <f>E35-F35</f>
        <v>1.4100000000000001</v>
      </c>
      <c r="S35" s="5">
        <f t="shared" si="37"/>
        <v>5.2029000000000008E-3</v>
      </c>
      <c r="T35" s="5">
        <f t="shared" si="38"/>
        <v>3.3993539019963638E-3</v>
      </c>
      <c r="U35" s="3">
        <f>AVERAGE(G35:H35)</f>
        <v>21.7</v>
      </c>
      <c r="V35" s="5">
        <v>7.4884317841079325E-3</v>
      </c>
      <c r="AM35">
        <f t="shared" si="4"/>
        <v>4.4705262499999997E-4</v>
      </c>
      <c r="AN35">
        <f t="shared" ref="AN35:AO35" si="40">AM35*1000</f>
        <v>0.44705262499999998</v>
      </c>
      <c r="AO35">
        <f t="shared" si="40"/>
        <v>447.05262499999998</v>
      </c>
      <c r="AP35">
        <f t="shared" si="6"/>
        <v>7.4508770833333333</v>
      </c>
      <c r="AR35">
        <v>23</v>
      </c>
      <c r="AS35">
        <v>23</v>
      </c>
      <c r="AT35">
        <v>1.0729262999999999E-2</v>
      </c>
      <c r="AU35" t="s">
        <v>61</v>
      </c>
      <c r="AV35" t="s">
        <v>56</v>
      </c>
      <c r="AW35" t="s">
        <v>57</v>
      </c>
      <c r="AX35">
        <v>6</v>
      </c>
      <c r="AY35" t="s">
        <v>58</v>
      </c>
    </row>
    <row r="36" spans="1:51" x14ac:dyDescent="0.3">
      <c r="A36" s="1">
        <v>45050</v>
      </c>
      <c r="B36" s="2">
        <v>0.21249999999999999</v>
      </c>
      <c r="C36">
        <v>7</v>
      </c>
      <c r="D36" t="s">
        <v>36</v>
      </c>
      <c r="E36">
        <v>8.6</v>
      </c>
      <c r="F36">
        <v>7.4</v>
      </c>
      <c r="G36" s="3">
        <v>13.8</v>
      </c>
      <c r="H36" s="3">
        <v>14.1</v>
      </c>
      <c r="I36" s="2">
        <v>0.24722222222222223</v>
      </c>
      <c r="J36">
        <f>VLOOKUP(D36,Fish_Container_info!$A$2:$E$20,4)</f>
        <v>13.1</v>
      </c>
      <c r="K36">
        <f>VLOOKUP(D36,Fish_Container_info!$A$2:$D$20,2)</f>
        <v>7</v>
      </c>
      <c r="L36">
        <f>VLOOKUP(D36,Fish_Container_info!$A$2:$D$20,3)</f>
        <v>114</v>
      </c>
      <c r="M36">
        <f>VLOOKUP(C36,Fish_Container_info!$G$2:$H$45,2)</f>
        <v>2340</v>
      </c>
      <c r="N36">
        <v>1</v>
      </c>
      <c r="O36" s="2">
        <f>I36-B36</f>
        <v>3.4722222222222238E-2</v>
      </c>
      <c r="P36" s="5">
        <f t="shared" si="36"/>
        <v>3.4722222222222238E-2</v>
      </c>
      <c r="Q36" s="5">
        <f t="shared" si="3"/>
        <v>0.29999999999999893</v>
      </c>
      <c r="R36" s="4">
        <f>E36-F36</f>
        <v>1.1999999999999993</v>
      </c>
      <c r="S36" s="5">
        <f t="shared" si="37"/>
        <v>2.807999999999998E-3</v>
      </c>
      <c r="T36" s="5">
        <f t="shared" si="38"/>
        <v>7.0938947368420974E-4</v>
      </c>
      <c r="U36" s="3">
        <f>AVERAGE(G36:H36)</f>
        <v>13.95</v>
      </c>
      <c r="V36" s="5">
        <v>6.1733129770992299E-3</v>
      </c>
      <c r="AM36">
        <f t="shared" si="4"/>
        <v>3.1201800000000001E-4</v>
      </c>
      <c r="AN36">
        <f t="shared" ref="AN36:AO36" si="41">AM36*1000</f>
        <v>0.31201800000000002</v>
      </c>
      <c r="AO36">
        <f t="shared" si="41"/>
        <v>312.01800000000003</v>
      </c>
      <c r="AP36">
        <f t="shared" si="6"/>
        <v>5.2003000000000004</v>
      </c>
      <c r="AR36">
        <v>22</v>
      </c>
      <c r="AS36">
        <v>21.7</v>
      </c>
      <c r="AT36">
        <v>7.4884319999999997E-3</v>
      </c>
      <c r="AU36" t="s">
        <v>62</v>
      </c>
      <c r="AV36" t="s">
        <v>56</v>
      </c>
      <c r="AW36" t="s">
        <v>57</v>
      </c>
      <c r="AX36">
        <v>6</v>
      </c>
      <c r="AY36" t="s">
        <v>58</v>
      </c>
    </row>
    <row r="37" spans="1:51" x14ac:dyDescent="0.3">
      <c r="A37" s="1">
        <v>45050</v>
      </c>
      <c r="B37" s="2">
        <v>0.30138888888888887</v>
      </c>
      <c r="C37">
        <v>7</v>
      </c>
      <c r="D37" t="s">
        <v>36</v>
      </c>
      <c r="E37">
        <v>9.16</v>
      </c>
      <c r="F37">
        <v>7.89</v>
      </c>
      <c r="G37" s="3">
        <v>14.7</v>
      </c>
      <c r="H37" s="3">
        <v>15.3</v>
      </c>
      <c r="I37" s="2">
        <v>0.33680555555555558</v>
      </c>
      <c r="J37">
        <f>VLOOKUP(D37,Fish_Container_info!$A$2:$E$20,4)</f>
        <v>13.1</v>
      </c>
      <c r="K37">
        <f>VLOOKUP(D37,Fish_Container_info!$A$2:$D$20,2)</f>
        <v>7</v>
      </c>
      <c r="L37">
        <f>VLOOKUP(D37,Fish_Container_info!$A$2:$D$20,3)</f>
        <v>114</v>
      </c>
      <c r="M37">
        <f>VLOOKUP(C37,Fish_Container_info!$G$2:$H$45,2)</f>
        <v>2340</v>
      </c>
      <c r="N37">
        <v>2</v>
      </c>
      <c r="O37" s="2">
        <f>I37-B37</f>
        <v>3.5416666666666707E-2</v>
      </c>
      <c r="P37" s="5">
        <f t="shared" si="36"/>
        <v>3.5416666666666707E-2</v>
      </c>
      <c r="Q37" s="5">
        <f t="shared" si="3"/>
        <v>0.60000000000000142</v>
      </c>
      <c r="R37" s="4">
        <f>E37-F37</f>
        <v>1.2700000000000005</v>
      </c>
      <c r="S37" s="5">
        <f t="shared" si="37"/>
        <v>2.971800000000001E-3</v>
      </c>
      <c r="T37" s="5">
        <f t="shared" si="38"/>
        <v>7.360495356037146E-4</v>
      </c>
      <c r="U37" s="3">
        <f>AVERAGE(G37:H37)</f>
        <v>15</v>
      </c>
      <c r="V37" s="5">
        <v>6.4053165693758367E-3</v>
      </c>
      <c r="AM37">
        <f t="shared" si="4"/>
        <v>2.5722137499999999E-4</v>
      </c>
      <c r="AN37">
        <f t="shared" ref="AN37:AO37" si="42">AM37*1000</f>
        <v>0.25722137499999997</v>
      </c>
      <c r="AO37">
        <f t="shared" si="42"/>
        <v>257.22137499999997</v>
      </c>
      <c r="AP37">
        <f t="shared" si="6"/>
        <v>4.2870229166666665</v>
      </c>
      <c r="AR37">
        <v>14</v>
      </c>
      <c r="AS37">
        <v>13.95</v>
      </c>
      <c r="AT37">
        <v>6.1733129999999997E-3</v>
      </c>
      <c r="AU37" t="s">
        <v>63</v>
      </c>
      <c r="AV37" t="s">
        <v>56</v>
      </c>
      <c r="AW37" t="s">
        <v>57</v>
      </c>
      <c r="AX37">
        <v>1</v>
      </c>
      <c r="AY37" t="s">
        <v>58</v>
      </c>
    </row>
    <row r="38" spans="1:51" x14ac:dyDescent="0.3">
      <c r="A38" s="1">
        <v>45050</v>
      </c>
      <c r="B38" s="2">
        <v>0.3756944444444445</v>
      </c>
      <c r="C38">
        <v>7</v>
      </c>
      <c r="D38" t="s">
        <v>36</v>
      </c>
      <c r="E38">
        <v>8.57</v>
      </c>
      <c r="F38">
        <v>7.16</v>
      </c>
      <c r="G38" s="3">
        <v>16</v>
      </c>
      <c r="H38" s="3">
        <v>16.600000000000001</v>
      </c>
      <c r="I38" s="2">
        <v>0.41180555555555554</v>
      </c>
      <c r="J38">
        <f>VLOOKUP(D38,Fish_Container_info!$A$2:$E$20,4)</f>
        <v>13.1</v>
      </c>
      <c r="K38">
        <f>VLOOKUP(D38,Fish_Container_info!$A$2:$D$20,2)</f>
        <v>7</v>
      </c>
      <c r="L38">
        <f>VLOOKUP(D38,Fish_Container_info!$A$2:$D$20,3)</f>
        <v>114</v>
      </c>
      <c r="M38">
        <f>VLOOKUP(C38,Fish_Container_info!$G$2:$H$45,2)</f>
        <v>2340</v>
      </c>
      <c r="N38">
        <v>3</v>
      </c>
      <c r="O38" s="2">
        <f>I38-B38</f>
        <v>3.6111111111111038E-2</v>
      </c>
      <c r="P38" s="5">
        <f t="shared" si="36"/>
        <v>3.6111111111111038E-2</v>
      </c>
      <c r="Q38" s="5">
        <f t="shared" si="3"/>
        <v>0.60000000000000142</v>
      </c>
      <c r="R38" s="4">
        <f>E38-F38</f>
        <v>1.4100000000000001</v>
      </c>
      <c r="S38" s="5">
        <f t="shared" si="37"/>
        <v>3.2994000000000005E-3</v>
      </c>
      <c r="T38" s="5">
        <f t="shared" si="38"/>
        <v>8.0147368421052811E-4</v>
      </c>
      <c r="U38" s="3">
        <f>AVERAGE(G38:H38)</f>
        <v>16.3</v>
      </c>
      <c r="V38" s="5">
        <v>6.974656488549634E-3</v>
      </c>
      <c r="AM38">
        <f t="shared" si="4"/>
        <v>2.6688820833333334E-4</v>
      </c>
      <c r="AN38">
        <f t="shared" ref="AN38:AO38" si="43">AM38*1000</f>
        <v>0.26688820833333332</v>
      </c>
      <c r="AO38">
        <f t="shared" si="43"/>
        <v>266.8882083333333</v>
      </c>
      <c r="AP38">
        <f t="shared" si="6"/>
        <v>4.4481368055555546</v>
      </c>
      <c r="AR38">
        <v>15</v>
      </c>
      <c r="AS38">
        <v>15</v>
      </c>
      <c r="AT38">
        <v>6.4053169999999998E-3</v>
      </c>
      <c r="AU38" t="s">
        <v>63</v>
      </c>
      <c r="AV38" t="s">
        <v>56</v>
      </c>
      <c r="AW38" t="s">
        <v>57</v>
      </c>
      <c r="AX38">
        <v>2</v>
      </c>
      <c r="AY38" t="s">
        <v>58</v>
      </c>
    </row>
    <row r="39" spans="1:51" x14ac:dyDescent="0.3">
      <c r="A39" s="1">
        <v>45050</v>
      </c>
      <c r="B39" s="2">
        <v>0.45555555555555555</v>
      </c>
      <c r="C39">
        <v>7</v>
      </c>
      <c r="D39" t="s">
        <v>36</v>
      </c>
      <c r="E39">
        <v>7.25</v>
      </c>
      <c r="F39">
        <v>6.01</v>
      </c>
      <c r="G39" s="3">
        <v>17.399999999999999</v>
      </c>
      <c r="H39" s="3">
        <v>18</v>
      </c>
      <c r="I39" s="2">
        <v>0.4826388888888889</v>
      </c>
      <c r="J39">
        <f>VLOOKUP(D39,Fish_Container_info!$A$2:$E$20,4)</f>
        <v>13.1</v>
      </c>
      <c r="K39">
        <f>VLOOKUP(D39,Fish_Container_info!$A$2:$D$20,2)</f>
        <v>7</v>
      </c>
      <c r="L39">
        <f>VLOOKUP(D39,Fish_Container_info!$A$2:$D$20,3)</f>
        <v>114</v>
      </c>
      <c r="M39">
        <f>VLOOKUP(C39,Fish_Container_info!$G$2:$H$45,2)</f>
        <v>2340</v>
      </c>
      <c r="N39">
        <v>4</v>
      </c>
      <c r="O39" s="2">
        <f>I39-B39</f>
        <v>2.7083333333333348E-2</v>
      </c>
      <c r="P39" s="5">
        <f t="shared" si="36"/>
        <v>2.7083333333333348E-2</v>
      </c>
      <c r="Q39" s="5">
        <f t="shared" si="3"/>
        <v>0.60000000000000142</v>
      </c>
      <c r="R39" s="4">
        <f>E39-F39</f>
        <v>1.2400000000000002</v>
      </c>
      <c r="S39" s="5">
        <f t="shared" si="37"/>
        <v>2.9016000000000003E-3</v>
      </c>
      <c r="T39" s="5">
        <f t="shared" si="38"/>
        <v>9.3978947368421014E-4</v>
      </c>
      <c r="U39" s="3">
        <f>AVERAGE(G39:H39)</f>
        <v>17.7</v>
      </c>
      <c r="V39" s="5">
        <v>8.1783206106870194E-3</v>
      </c>
      <c r="AM39">
        <f t="shared" si="4"/>
        <v>2.9061066666666665E-4</v>
      </c>
      <c r="AN39">
        <f t="shared" ref="AN39:AO39" si="44">AM39*1000</f>
        <v>0.29061066666666663</v>
      </c>
      <c r="AO39">
        <f t="shared" si="44"/>
        <v>290.61066666666665</v>
      </c>
      <c r="AP39">
        <f t="shared" si="6"/>
        <v>4.8435111111111109</v>
      </c>
      <c r="AR39">
        <v>16</v>
      </c>
      <c r="AS39">
        <v>16.3</v>
      </c>
      <c r="AT39">
        <v>6.9746560000000001E-3</v>
      </c>
      <c r="AU39" t="s">
        <v>63</v>
      </c>
      <c r="AV39" t="s">
        <v>56</v>
      </c>
      <c r="AW39" t="s">
        <v>57</v>
      </c>
      <c r="AX39">
        <v>3</v>
      </c>
      <c r="AY39" t="s">
        <v>58</v>
      </c>
    </row>
    <row r="40" spans="1:51" x14ac:dyDescent="0.3">
      <c r="A40" s="1">
        <v>45050</v>
      </c>
      <c r="B40" s="2">
        <v>0.66111111111111109</v>
      </c>
      <c r="C40">
        <v>7</v>
      </c>
      <c r="D40" t="s">
        <v>36</v>
      </c>
      <c r="E40">
        <v>8.43</v>
      </c>
      <c r="F40">
        <v>6.98</v>
      </c>
      <c r="G40" s="3">
        <v>18.3</v>
      </c>
      <c r="H40" s="3">
        <v>18.100000000000001</v>
      </c>
      <c r="I40" s="2">
        <v>0.6958333333333333</v>
      </c>
      <c r="J40">
        <f>VLOOKUP(D40,Fish_Container_info!$A$2:$E$20,4)</f>
        <v>13.1</v>
      </c>
      <c r="K40">
        <f>VLOOKUP(D40,Fish_Container_info!$A$2:$D$20,2)</f>
        <v>7</v>
      </c>
      <c r="L40">
        <f>VLOOKUP(D40,Fish_Container_info!$A$2:$D$20,3)</f>
        <v>114</v>
      </c>
      <c r="M40">
        <f>VLOOKUP(C40,Fish_Container_info!$G$2:$H$45,2)</f>
        <v>2340</v>
      </c>
      <c r="N40">
        <v>5</v>
      </c>
      <c r="O40" s="2">
        <f>I40-B40</f>
        <v>3.472222222222221E-2</v>
      </c>
      <c r="P40" s="5">
        <f t="shared" si="36"/>
        <v>3.472222222222221E-2</v>
      </c>
      <c r="Q40" s="5">
        <f t="shared" si="3"/>
        <v>-0.19999999999999929</v>
      </c>
      <c r="R40" s="4">
        <f>E40-F40</f>
        <v>1.4499999999999993</v>
      </c>
      <c r="S40" s="5">
        <f t="shared" si="37"/>
        <v>3.392999999999998E-3</v>
      </c>
      <c r="T40" s="5">
        <f t="shared" si="38"/>
        <v>8.5717894736842091E-4</v>
      </c>
      <c r="U40" s="3">
        <f>AVERAGE(G40:H40)</f>
        <v>18.200000000000003</v>
      </c>
      <c r="V40" s="5">
        <v>7.4594198473282433E-3</v>
      </c>
      <c r="AM40">
        <f t="shared" si="4"/>
        <v>3.4076337500000002E-4</v>
      </c>
      <c r="AN40">
        <f t="shared" ref="AN40:AO40" si="45">AM40*1000</f>
        <v>0.34076337500000003</v>
      </c>
      <c r="AO40">
        <f t="shared" si="45"/>
        <v>340.76337500000005</v>
      </c>
      <c r="AP40">
        <f t="shared" si="6"/>
        <v>5.6793895833333341</v>
      </c>
      <c r="AR40">
        <v>18</v>
      </c>
      <c r="AS40">
        <v>17.7</v>
      </c>
      <c r="AT40">
        <v>8.1783210000000005E-3</v>
      </c>
      <c r="AU40" t="s">
        <v>63</v>
      </c>
      <c r="AV40" t="s">
        <v>56</v>
      </c>
      <c r="AW40" t="s">
        <v>57</v>
      </c>
      <c r="AX40">
        <v>4</v>
      </c>
      <c r="AY40" t="s">
        <v>58</v>
      </c>
    </row>
    <row r="41" spans="1:51" x14ac:dyDescent="0.3">
      <c r="A41" s="1">
        <v>45047</v>
      </c>
      <c r="B41" s="2">
        <v>0.67847222222222225</v>
      </c>
      <c r="C41">
        <v>1</v>
      </c>
      <c r="D41" t="s">
        <v>15</v>
      </c>
      <c r="E41" s="4">
        <v>9.94</v>
      </c>
      <c r="F41" s="4">
        <v>7.18</v>
      </c>
      <c r="G41" s="3">
        <v>14.4</v>
      </c>
      <c r="H41" s="3">
        <v>17.899999999999999</v>
      </c>
      <c r="I41" s="2">
        <v>0.74305555555555547</v>
      </c>
      <c r="J41" t="e">
        <f>VLOOKUP(D41,Fish_Container_info!$A$2:$E$20,4)</f>
        <v>#N/A</v>
      </c>
      <c r="K41" t="e">
        <f>VLOOKUP(D41,Fish_Container_info!$A$2:$D$20,2)</f>
        <v>#N/A</v>
      </c>
      <c r="L41" t="e">
        <f>VLOOKUP(D41,Fish_Container_info!$A$2:$D$20,3)</f>
        <v>#N/A</v>
      </c>
      <c r="M41">
        <f>VLOOKUP(C41,Fish_Container_info!$G$2:$H$45,2)</f>
        <v>582</v>
      </c>
      <c r="N41">
        <v>1</v>
      </c>
      <c r="O41" s="2">
        <f>I41-B41</f>
        <v>6.4583333333333215E-2</v>
      </c>
      <c r="P41" s="5">
        <f t="shared" si="36"/>
        <v>6.4583333333333215E-2</v>
      </c>
      <c r="Q41" s="5">
        <f t="shared" si="3"/>
        <v>3.4999999999999982</v>
      </c>
      <c r="R41" s="4">
        <f>E41-F41</f>
        <v>2.76</v>
      </c>
      <c r="S41" s="5">
        <f t="shared" si="37"/>
        <v>1.6063199999999998E-3</v>
      </c>
      <c r="T41" s="5" t="e">
        <f t="shared" si="38"/>
        <v>#N/A</v>
      </c>
      <c r="U41" s="3">
        <f>AVERAGE(G41:H41)</f>
        <v>16.149999999999999</v>
      </c>
      <c r="V41" s="5">
        <v>7.3153092979127256E-3</v>
      </c>
      <c r="AM41">
        <f t="shared" si="4"/>
        <v>3.1080916666666663E-4</v>
      </c>
      <c r="AN41">
        <f t="shared" ref="AN41:AO41" si="46">AM41*1000</f>
        <v>0.31080916666666664</v>
      </c>
      <c r="AO41">
        <f t="shared" si="46"/>
        <v>310.80916666666661</v>
      </c>
      <c r="AP41">
        <f t="shared" si="6"/>
        <v>5.1801527777777769</v>
      </c>
      <c r="AR41">
        <v>18</v>
      </c>
      <c r="AS41">
        <v>18.2</v>
      </c>
      <c r="AT41">
        <v>7.4594199999999996E-3</v>
      </c>
      <c r="AU41" t="s">
        <v>63</v>
      </c>
      <c r="AV41" t="s">
        <v>56</v>
      </c>
      <c r="AW41" t="s">
        <v>57</v>
      </c>
      <c r="AX41">
        <v>5</v>
      </c>
      <c r="AY41" t="s">
        <v>58</v>
      </c>
    </row>
    <row r="42" spans="1:51" x14ac:dyDescent="0.3">
      <c r="A42" s="1">
        <v>45047</v>
      </c>
      <c r="B42" s="2">
        <v>0.67986111111111114</v>
      </c>
      <c r="C42">
        <v>2</v>
      </c>
      <c r="D42" t="s">
        <v>17</v>
      </c>
      <c r="E42">
        <v>8.9700000000000006</v>
      </c>
      <c r="F42">
        <v>6.36</v>
      </c>
      <c r="G42" s="3">
        <v>14.9</v>
      </c>
      <c r="H42" s="3">
        <v>18.100000000000001</v>
      </c>
      <c r="I42" s="2">
        <v>0.74444444444444446</v>
      </c>
      <c r="J42" t="e">
        <f>VLOOKUP(D42,Fish_Container_info!$A$2:$E$20,4)</f>
        <v>#N/A</v>
      </c>
      <c r="K42" t="e">
        <f>VLOOKUP(D42,Fish_Container_info!$A$2:$D$20,2)</f>
        <v>#N/A</v>
      </c>
      <c r="L42" t="e">
        <f>VLOOKUP(D42,Fish_Container_info!$A$2:$D$20,3)</f>
        <v>#N/A</v>
      </c>
      <c r="M42">
        <f>VLOOKUP(C42,Fish_Container_info!$G$2:$H$45,2)</f>
        <v>406</v>
      </c>
      <c r="N42">
        <v>1</v>
      </c>
      <c r="O42" s="2">
        <f>I42-B42</f>
        <v>6.4583333333333326E-2</v>
      </c>
      <c r="P42" s="5">
        <f t="shared" si="36"/>
        <v>6.4583333333333326E-2</v>
      </c>
      <c r="Q42" s="5">
        <f t="shared" si="3"/>
        <v>3.2000000000000011</v>
      </c>
      <c r="R42" s="4">
        <f>E42-F42</f>
        <v>2.6100000000000003</v>
      </c>
      <c r="S42" s="5">
        <f t="shared" si="37"/>
        <v>1.0596600000000002E-3</v>
      </c>
      <c r="T42" s="5" t="e">
        <f t="shared" si="38"/>
        <v>#N/A</v>
      </c>
      <c r="U42" s="3">
        <f>AVERAGE(G42:H42)</f>
        <v>16.5</v>
      </c>
      <c r="V42" s="5">
        <v>7.4580175953079201E-3</v>
      </c>
      <c r="AM42">
        <f t="shared" si="4"/>
        <v>3.0480454166666664E-4</v>
      </c>
      <c r="AN42">
        <f t="shared" ref="AN42:AO42" si="47">AM42*1000</f>
        <v>0.30480454166666665</v>
      </c>
      <c r="AO42">
        <f t="shared" si="47"/>
        <v>304.80454166666664</v>
      </c>
      <c r="AP42">
        <f t="shared" si="6"/>
        <v>5.0800756944444441</v>
      </c>
      <c r="AR42">
        <v>16</v>
      </c>
      <c r="AS42">
        <v>16.149999999999999</v>
      </c>
      <c r="AT42">
        <v>7.3153089999999999E-3</v>
      </c>
      <c r="AU42" t="s">
        <v>64</v>
      </c>
      <c r="AV42" t="s">
        <v>65</v>
      </c>
      <c r="AW42" t="s">
        <v>57</v>
      </c>
      <c r="AX42">
        <v>1</v>
      </c>
      <c r="AY42" t="s">
        <v>58</v>
      </c>
    </row>
    <row r="43" spans="1:51" x14ac:dyDescent="0.3">
      <c r="A43" s="1">
        <v>45047</v>
      </c>
      <c r="B43" s="2">
        <v>0.68125000000000002</v>
      </c>
      <c r="C43">
        <v>3</v>
      </c>
      <c r="D43" t="s">
        <v>18</v>
      </c>
      <c r="E43">
        <v>9.6199999999999992</v>
      </c>
      <c r="F43">
        <v>5.8</v>
      </c>
      <c r="G43" s="3">
        <v>14.9</v>
      </c>
      <c r="H43" s="3">
        <v>18.399999999999999</v>
      </c>
      <c r="I43" s="2">
        <v>0.74722222222222223</v>
      </c>
      <c r="J43" t="e">
        <f>VLOOKUP(D43,Fish_Container_info!$A$2:$E$20,4)</f>
        <v>#N/A</v>
      </c>
      <c r="K43" t="e">
        <f>VLOOKUP(D43,Fish_Container_info!$A$2:$D$20,2)</f>
        <v>#N/A</v>
      </c>
      <c r="L43" t="e">
        <f>VLOOKUP(D43,Fish_Container_info!$A$2:$D$20,3)</f>
        <v>#N/A</v>
      </c>
      <c r="M43">
        <f>VLOOKUP(C43,Fish_Container_info!$G$2:$H$45,2)</f>
        <v>362</v>
      </c>
      <c r="N43">
        <v>1</v>
      </c>
      <c r="O43" s="2">
        <f>I43-B43</f>
        <v>6.597222222222221E-2</v>
      </c>
      <c r="P43" s="5">
        <f t="shared" si="36"/>
        <v>6.597222222222221E-2</v>
      </c>
      <c r="Q43" s="5">
        <f t="shared" si="3"/>
        <v>3.4999999999999982</v>
      </c>
      <c r="R43" s="4">
        <f>E43-F43</f>
        <v>3.8199999999999994</v>
      </c>
      <c r="S43" s="5">
        <f t="shared" si="37"/>
        <v>1.3828399999999998E-3</v>
      </c>
      <c r="T43" s="5" t="e">
        <f t="shared" si="38"/>
        <v>#N/A</v>
      </c>
      <c r="U43" s="3">
        <f>AVERAGE(G43:H43)</f>
        <v>16.649999999999999</v>
      </c>
      <c r="V43" s="5">
        <v>9.1134535469107568E-3</v>
      </c>
      <c r="AM43">
        <f t="shared" si="4"/>
        <v>3.1075075000000003E-4</v>
      </c>
      <c r="AN43">
        <f t="shared" ref="AN43:AO43" si="48">AM43*1000</f>
        <v>0.31075075000000002</v>
      </c>
      <c r="AO43">
        <f t="shared" si="48"/>
        <v>310.75075000000004</v>
      </c>
      <c r="AP43">
        <f t="shared" si="6"/>
        <v>5.1791791666666676</v>
      </c>
      <c r="AR43">
        <v>17</v>
      </c>
      <c r="AS43">
        <v>16.5</v>
      </c>
      <c r="AT43">
        <v>7.4580180000000003E-3</v>
      </c>
      <c r="AU43" t="s">
        <v>66</v>
      </c>
      <c r="AV43" t="s">
        <v>65</v>
      </c>
      <c r="AW43" t="s">
        <v>57</v>
      </c>
      <c r="AX43">
        <v>1</v>
      </c>
      <c r="AY43" t="s">
        <v>58</v>
      </c>
    </row>
    <row r="44" spans="1:51" x14ac:dyDescent="0.3">
      <c r="A44" s="1">
        <v>45047</v>
      </c>
      <c r="B44" s="2">
        <v>0.7715277777777777</v>
      </c>
      <c r="C44">
        <v>3</v>
      </c>
      <c r="D44" t="s">
        <v>18</v>
      </c>
      <c r="E44">
        <v>8.99</v>
      </c>
      <c r="F44">
        <v>7.9</v>
      </c>
      <c r="G44" s="3">
        <v>17.3</v>
      </c>
      <c r="H44" s="3">
        <v>16.2</v>
      </c>
      <c r="I44" s="2">
        <v>0.79999999999999993</v>
      </c>
      <c r="J44" t="e">
        <f>VLOOKUP(D44,Fish_Container_info!$A$2:$E$20,4)</f>
        <v>#N/A</v>
      </c>
      <c r="K44" t="e">
        <f>VLOOKUP(D44,Fish_Container_info!$A$2:$D$20,2)</f>
        <v>#N/A</v>
      </c>
      <c r="L44" t="e">
        <f>VLOOKUP(D44,Fish_Container_info!$A$2:$D$20,3)</f>
        <v>#N/A</v>
      </c>
      <c r="M44">
        <f>VLOOKUP(C44,Fish_Container_info!$G$2:$H$45,2)</f>
        <v>362</v>
      </c>
      <c r="N44">
        <v>2</v>
      </c>
      <c r="O44" s="2">
        <f>I44-B44</f>
        <v>2.8472222222222232E-2</v>
      </c>
      <c r="P44" s="5">
        <f t="shared" si="36"/>
        <v>2.8472222222222232E-2</v>
      </c>
      <c r="Q44" s="5">
        <f t="shared" si="3"/>
        <v>-1.1000000000000014</v>
      </c>
      <c r="R44" s="4">
        <f>E44-F44</f>
        <v>1.0899999999999999</v>
      </c>
      <c r="S44" s="5">
        <f t="shared" si="37"/>
        <v>3.9457999999999995E-4</v>
      </c>
      <c r="T44" s="5" t="e">
        <f t="shared" si="38"/>
        <v>#N/A</v>
      </c>
      <c r="U44" s="3">
        <f>AVERAGE(G44:H44)</f>
        <v>16.75</v>
      </c>
      <c r="V44" s="5">
        <v>6.0253997879109204E-3</v>
      </c>
      <c r="AM44">
        <f t="shared" si="4"/>
        <v>3.7972724999999998E-4</v>
      </c>
      <c r="AN44">
        <f t="shared" ref="AN44:AO44" si="49">AM44*1000</f>
        <v>0.37972724999999996</v>
      </c>
      <c r="AO44">
        <f t="shared" si="49"/>
        <v>379.72724999999997</v>
      </c>
      <c r="AP44">
        <f t="shared" si="6"/>
        <v>6.3287874999999998</v>
      </c>
      <c r="AR44">
        <v>17</v>
      </c>
      <c r="AS44">
        <v>16.649999999999999</v>
      </c>
      <c r="AT44">
        <v>9.113454E-3</v>
      </c>
      <c r="AU44" t="s">
        <v>67</v>
      </c>
      <c r="AV44" t="s">
        <v>65</v>
      </c>
      <c r="AW44" t="s">
        <v>57</v>
      </c>
      <c r="AX44">
        <v>1</v>
      </c>
      <c r="AY44" t="s">
        <v>58</v>
      </c>
    </row>
    <row r="45" spans="1:51" x14ac:dyDescent="0.3">
      <c r="A45" s="1">
        <v>45047</v>
      </c>
      <c r="B45" s="2">
        <v>0.77430555555555547</v>
      </c>
      <c r="C45">
        <v>1</v>
      </c>
      <c r="D45" t="s">
        <v>15</v>
      </c>
      <c r="E45">
        <v>8.68</v>
      </c>
      <c r="F45">
        <v>7.52</v>
      </c>
      <c r="G45" s="3">
        <v>17.600000000000001</v>
      </c>
      <c r="H45" s="3">
        <v>16.5</v>
      </c>
      <c r="I45" s="2">
        <v>0.80208333333333337</v>
      </c>
      <c r="J45" t="e">
        <f>VLOOKUP(D45,Fish_Container_info!$A$2:$E$20,4)</f>
        <v>#N/A</v>
      </c>
      <c r="K45" t="e">
        <f>VLOOKUP(D45,Fish_Container_info!$A$2:$D$20,2)</f>
        <v>#N/A</v>
      </c>
      <c r="L45" t="e">
        <f>VLOOKUP(D45,Fish_Container_info!$A$2:$D$20,3)</f>
        <v>#N/A</v>
      </c>
      <c r="M45">
        <f>VLOOKUP(C45,Fish_Container_info!$G$2:$H$45,2)</f>
        <v>582</v>
      </c>
      <c r="N45">
        <v>2</v>
      </c>
      <c r="O45" s="2">
        <f>I45-B45</f>
        <v>2.7777777777777901E-2</v>
      </c>
      <c r="P45" s="5">
        <f t="shared" si="36"/>
        <v>2.7777777777777901E-2</v>
      </c>
      <c r="Q45" s="5">
        <f t="shared" si="3"/>
        <v>-1.1000000000000014</v>
      </c>
      <c r="R45" s="4">
        <f>E45-F45</f>
        <v>1.1600000000000001</v>
      </c>
      <c r="S45" s="5">
        <f t="shared" si="37"/>
        <v>6.7512000000000008E-4</v>
      </c>
      <c r="T45" s="5" t="e">
        <f t="shared" si="38"/>
        <v>#N/A</v>
      </c>
      <c r="U45" s="3">
        <f>AVERAGE(G45:H45)</f>
        <v>17.05</v>
      </c>
      <c r="V45" s="5">
        <v>7.1483294117646754E-3</v>
      </c>
      <c r="AM45">
        <f t="shared" si="4"/>
        <v>2.5105833333333334E-4</v>
      </c>
      <c r="AN45">
        <f t="shared" ref="AN45:AO45" si="50">AM45*1000</f>
        <v>0.25105833333333333</v>
      </c>
      <c r="AO45">
        <f t="shared" si="50"/>
        <v>251.05833333333334</v>
      </c>
      <c r="AP45">
        <f t="shared" si="6"/>
        <v>4.1843055555555555</v>
      </c>
      <c r="AR45">
        <v>17</v>
      </c>
      <c r="AS45">
        <v>16.75</v>
      </c>
      <c r="AT45">
        <v>6.0254000000000002E-3</v>
      </c>
      <c r="AU45" t="s">
        <v>67</v>
      </c>
      <c r="AV45" t="s">
        <v>65</v>
      </c>
      <c r="AW45" t="s">
        <v>57</v>
      </c>
      <c r="AX45">
        <v>2</v>
      </c>
      <c r="AY45" t="s">
        <v>58</v>
      </c>
    </row>
    <row r="46" spans="1:51" x14ac:dyDescent="0.3">
      <c r="A46" s="1">
        <v>45047</v>
      </c>
      <c r="B46" s="2">
        <v>0.80625000000000002</v>
      </c>
      <c r="C46">
        <v>2</v>
      </c>
      <c r="D46" t="s">
        <v>17</v>
      </c>
      <c r="E46">
        <v>9.31</v>
      </c>
      <c r="F46">
        <v>7.97</v>
      </c>
      <c r="G46" s="3">
        <v>16.3</v>
      </c>
      <c r="H46" s="3">
        <v>15.4</v>
      </c>
      <c r="I46" s="2">
        <v>0.8354166666666667</v>
      </c>
      <c r="J46" t="e">
        <f>VLOOKUP(D46,Fish_Container_info!$A$2:$E$20,4)</f>
        <v>#N/A</v>
      </c>
      <c r="K46" t="e">
        <f>VLOOKUP(D46,Fish_Container_info!$A$2:$D$20,2)</f>
        <v>#N/A</v>
      </c>
      <c r="L46" t="e">
        <f>VLOOKUP(D46,Fish_Container_info!$A$2:$D$20,3)</f>
        <v>#N/A</v>
      </c>
      <c r="M46">
        <f>VLOOKUP(C46,Fish_Container_info!$G$2:$H$45,2)</f>
        <v>406</v>
      </c>
      <c r="N46">
        <v>2</v>
      </c>
      <c r="O46" s="2">
        <f>I46-B46</f>
        <v>2.9166666666666674E-2</v>
      </c>
      <c r="P46" s="5">
        <f t="shared" si="36"/>
        <v>2.9166666666666678E-2</v>
      </c>
      <c r="Q46" s="5">
        <f t="shared" si="3"/>
        <v>-0.90000000000000036</v>
      </c>
      <c r="R46" s="4">
        <f>E46-F46</f>
        <v>1.3400000000000007</v>
      </c>
      <c r="S46" s="5">
        <f t="shared" si="37"/>
        <v>5.440400000000003E-4</v>
      </c>
      <c r="T46" s="5" t="e">
        <f t="shared" si="38"/>
        <v>#N/A</v>
      </c>
      <c r="U46" s="3">
        <f>AVERAGE(G46:H46)</f>
        <v>15.850000000000001</v>
      </c>
      <c r="V46" s="5">
        <v>8.4785454545454556E-3</v>
      </c>
      <c r="AM46">
        <f t="shared" si="4"/>
        <v>2.9784704166666665E-4</v>
      </c>
      <c r="AN46">
        <f t="shared" ref="AN46:AO46" si="51">AM46*1000</f>
        <v>0.29784704166666665</v>
      </c>
      <c r="AO46">
        <f t="shared" si="51"/>
        <v>297.84704166666666</v>
      </c>
      <c r="AP46">
        <f t="shared" si="6"/>
        <v>4.9641173611111107</v>
      </c>
      <c r="AR46">
        <v>17</v>
      </c>
      <c r="AS46">
        <v>17.05</v>
      </c>
      <c r="AT46">
        <v>7.1483290000000001E-3</v>
      </c>
      <c r="AU46" t="s">
        <v>64</v>
      </c>
      <c r="AV46" t="s">
        <v>65</v>
      </c>
      <c r="AW46" t="s">
        <v>57</v>
      </c>
      <c r="AX46">
        <v>2</v>
      </c>
      <c r="AY46" t="s">
        <v>58</v>
      </c>
    </row>
    <row r="47" spans="1:51" x14ac:dyDescent="0.3">
      <c r="A47" s="1">
        <v>45047</v>
      </c>
      <c r="B47" s="2">
        <v>0.83888888888888891</v>
      </c>
      <c r="C47">
        <v>1</v>
      </c>
      <c r="D47" t="s">
        <v>15</v>
      </c>
      <c r="E47">
        <v>9.26</v>
      </c>
      <c r="F47">
        <v>7.93</v>
      </c>
      <c r="G47" s="3">
        <v>15.8</v>
      </c>
      <c r="H47" s="3">
        <v>15.3</v>
      </c>
      <c r="I47" s="2">
        <v>0.86736111111111114</v>
      </c>
      <c r="J47" t="e">
        <f>VLOOKUP(D47,Fish_Container_info!$A$2:$E$20,4)</f>
        <v>#N/A</v>
      </c>
      <c r="K47" t="e">
        <f>VLOOKUP(D47,Fish_Container_info!$A$2:$D$20,2)</f>
        <v>#N/A</v>
      </c>
      <c r="L47" t="e">
        <f>VLOOKUP(D47,Fish_Container_info!$A$2:$D$20,3)</f>
        <v>#N/A</v>
      </c>
      <c r="M47">
        <f>VLOOKUP(C47,Fish_Container_info!$G$2:$H$45,2)</f>
        <v>582</v>
      </c>
      <c r="N47">
        <v>3</v>
      </c>
      <c r="O47" s="2">
        <f>I47-B47</f>
        <v>2.8472222222222232E-2</v>
      </c>
      <c r="P47" s="5">
        <f t="shared" si="36"/>
        <v>2.8472222222222232E-2</v>
      </c>
      <c r="Q47" s="5">
        <f t="shared" si="3"/>
        <v>-0.5</v>
      </c>
      <c r="R47" s="4">
        <f>E47-F47</f>
        <v>1.33</v>
      </c>
      <c r="S47" s="5">
        <f t="shared" si="37"/>
        <v>7.7405999999999992E-4</v>
      </c>
      <c r="T47" s="5" t="e">
        <f t="shared" si="38"/>
        <v>#N/A</v>
      </c>
      <c r="U47" s="3">
        <f>AVERAGE(G47:H47)</f>
        <v>15.55</v>
      </c>
      <c r="V47" s="5">
        <v>7.9960286944045882E-3</v>
      </c>
      <c r="AM47">
        <f t="shared" si="4"/>
        <v>3.5327270833333336E-4</v>
      </c>
      <c r="AN47">
        <f t="shared" ref="AN47:AO47" si="52">AM47*1000</f>
        <v>0.35327270833333335</v>
      </c>
      <c r="AO47">
        <f t="shared" si="52"/>
        <v>353.27270833333336</v>
      </c>
      <c r="AP47">
        <f t="shared" si="6"/>
        <v>5.8878784722222228</v>
      </c>
      <c r="AR47">
        <v>16</v>
      </c>
      <c r="AS47">
        <v>15.85</v>
      </c>
      <c r="AT47">
        <v>8.4785450000000005E-3</v>
      </c>
      <c r="AU47" t="s">
        <v>66</v>
      </c>
      <c r="AV47" t="s">
        <v>65</v>
      </c>
      <c r="AW47" t="s">
        <v>57</v>
      </c>
      <c r="AX47">
        <v>2</v>
      </c>
      <c r="AY47" t="s">
        <v>58</v>
      </c>
    </row>
    <row r="48" spans="1:51" x14ac:dyDescent="0.3">
      <c r="A48" s="1">
        <v>45047</v>
      </c>
      <c r="B48" s="2">
        <v>0.84166666666666667</v>
      </c>
      <c r="C48">
        <v>3</v>
      </c>
      <c r="D48" t="s">
        <v>18</v>
      </c>
      <c r="E48">
        <v>9.2799999999999994</v>
      </c>
      <c r="F48">
        <v>7.9</v>
      </c>
      <c r="G48" s="3">
        <v>15.7</v>
      </c>
      <c r="H48" s="3">
        <v>15.2</v>
      </c>
      <c r="I48" s="2">
        <v>0.87013888888888891</v>
      </c>
      <c r="J48" t="e">
        <f>VLOOKUP(D48,Fish_Container_info!$A$2:$E$20,4)</f>
        <v>#N/A</v>
      </c>
      <c r="K48" t="e">
        <f>VLOOKUP(D48,Fish_Container_info!$A$2:$D$20,2)</f>
        <v>#N/A</v>
      </c>
      <c r="L48" t="e">
        <f>VLOOKUP(D48,Fish_Container_info!$A$2:$D$20,3)</f>
        <v>#N/A</v>
      </c>
      <c r="M48">
        <f>VLOOKUP(C48,Fish_Container_info!$G$2:$H$45,2)</f>
        <v>362</v>
      </c>
      <c r="N48">
        <v>3</v>
      </c>
      <c r="O48" s="2">
        <f>I48-B48</f>
        <v>2.8472222222222232E-2</v>
      </c>
      <c r="P48" s="5">
        <f t="shared" si="36"/>
        <v>2.8472222222222232E-2</v>
      </c>
      <c r="Q48" s="5">
        <f t="shared" si="3"/>
        <v>-0.5</v>
      </c>
      <c r="R48" s="4">
        <f>E48-F48</f>
        <v>1.379999999999999</v>
      </c>
      <c r="S48" s="5">
        <f t="shared" si="37"/>
        <v>4.9955999999999959E-4</v>
      </c>
      <c r="T48" s="5" t="e">
        <f t="shared" si="38"/>
        <v>#N/A</v>
      </c>
      <c r="U48" s="3">
        <f>AVERAGE(G48:H48)</f>
        <v>15.45</v>
      </c>
      <c r="V48" s="5">
        <v>7.6284878048780399E-3</v>
      </c>
      <c r="AM48">
        <f t="shared" si="4"/>
        <v>3.3316787500000002E-4</v>
      </c>
      <c r="AN48">
        <f t="shared" ref="AN48:AO48" si="53">AM48*1000</f>
        <v>0.333167875</v>
      </c>
      <c r="AO48">
        <f t="shared" si="53"/>
        <v>333.16787499999998</v>
      </c>
      <c r="AP48">
        <f t="shared" si="6"/>
        <v>5.5527979166666661</v>
      </c>
      <c r="AR48">
        <v>16</v>
      </c>
      <c r="AS48">
        <v>15.55</v>
      </c>
      <c r="AT48">
        <v>7.996029E-3</v>
      </c>
      <c r="AU48" t="s">
        <v>64</v>
      </c>
      <c r="AV48" t="s">
        <v>65</v>
      </c>
      <c r="AW48" t="s">
        <v>57</v>
      </c>
      <c r="AX48">
        <v>3</v>
      </c>
      <c r="AY48" t="s">
        <v>58</v>
      </c>
    </row>
    <row r="49" spans="1:51" x14ac:dyDescent="0.3">
      <c r="A49" s="1">
        <v>45048</v>
      </c>
      <c r="B49" s="2">
        <v>0.16874999999999998</v>
      </c>
      <c r="C49">
        <v>3</v>
      </c>
      <c r="D49" t="s">
        <v>18</v>
      </c>
      <c r="E49">
        <v>10.4</v>
      </c>
      <c r="F49">
        <v>8.61</v>
      </c>
      <c r="G49" s="3">
        <v>11.7</v>
      </c>
      <c r="H49" s="3">
        <v>11.6</v>
      </c>
      <c r="I49" s="2">
        <v>0.20833333333333334</v>
      </c>
      <c r="J49" t="e">
        <f>VLOOKUP(D49,Fish_Container_info!$A$2:$E$20,4)</f>
        <v>#N/A</v>
      </c>
      <c r="K49" t="e">
        <f>VLOOKUP(D49,Fish_Container_info!$A$2:$D$20,2)</f>
        <v>#N/A</v>
      </c>
      <c r="L49" t="e">
        <f>VLOOKUP(D49,Fish_Container_info!$A$2:$D$20,3)</f>
        <v>#N/A</v>
      </c>
      <c r="M49">
        <f>VLOOKUP(C49,Fish_Container_info!$G$2:$H$45,2)</f>
        <v>362</v>
      </c>
      <c r="N49">
        <v>4</v>
      </c>
      <c r="O49" s="2">
        <f>I49-B49</f>
        <v>3.9583333333333359E-2</v>
      </c>
      <c r="P49" s="5">
        <f t="shared" si="36"/>
        <v>3.9583333333333359E-2</v>
      </c>
      <c r="Q49" s="5">
        <f t="shared" si="3"/>
        <v>-9.9999999999999645E-2</v>
      </c>
      <c r="R49" s="4">
        <f>E49-F49</f>
        <v>1.7900000000000009</v>
      </c>
      <c r="S49" s="5">
        <f t="shared" si="37"/>
        <v>6.4798000000000037E-4</v>
      </c>
      <c r="T49" s="5" t="e">
        <f t="shared" si="38"/>
        <v>#N/A</v>
      </c>
      <c r="U49" s="3">
        <f>AVERAGE(G49:H49)</f>
        <v>11.649999999999999</v>
      </c>
      <c r="V49" s="5">
        <v>7.1174004576659046E-3</v>
      </c>
      <c r="AM49">
        <f t="shared" si="4"/>
        <v>3.1785366666666669E-4</v>
      </c>
      <c r="AN49">
        <f t="shared" ref="AN49:AO49" si="54">AM49*1000</f>
        <v>0.3178536666666667</v>
      </c>
      <c r="AO49">
        <f t="shared" si="54"/>
        <v>317.8536666666667</v>
      </c>
      <c r="AP49">
        <f t="shared" si="6"/>
        <v>5.2975611111111114</v>
      </c>
      <c r="AR49">
        <v>15</v>
      </c>
      <c r="AS49">
        <v>15.45</v>
      </c>
      <c r="AT49">
        <v>7.6284880000000001E-3</v>
      </c>
      <c r="AU49" t="s">
        <v>67</v>
      </c>
      <c r="AV49" t="s">
        <v>65</v>
      </c>
      <c r="AW49" t="s">
        <v>57</v>
      </c>
      <c r="AX49">
        <v>3</v>
      </c>
      <c r="AY49" t="s">
        <v>58</v>
      </c>
    </row>
    <row r="50" spans="1:51" x14ac:dyDescent="0.3">
      <c r="A50" s="1">
        <v>45048</v>
      </c>
      <c r="B50" s="2">
        <v>0.17152777777777775</v>
      </c>
      <c r="C50">
        <v>1</v>
      </c>
      <c r="D50" t="s">
        <v>15</v>
      </c>
      <c r="E50">
        <v>10.199999999999999</v>
      </c>
      <c r="F50">
        <v>8.7100000000000009</v>
      </c>
      <c r="G50" s="3">
        <v>12</v>
      </c>
      <c r="H50" s="3">
        <v>11.7</v>
      </c>
      <c r="I50" s="2">
        <v>0.20972222222222223</v>
      </c>
      <c r="J50" t="e">
        <f>VLOOKUP(D50,Fish_Container_info!$A$2:$E$20,4)</f>
        <v>#N/A</v>
      </c>
      <c r="K50" t="e">
        <f>VLOOKUP(D50,Fish_Container_info!$A$2:$D$20,2)</f>
        <v>#N/A</v>
      </c>
      <c r="L50" t="e">
        <f>VLOOKUP(D50,Fish_Container_info!$A$2:$D$20,3)</f>
        <v>#N/A</v>
      </c>
      <c r="M50">
        <f>VLOOKUP(C50,Fish_Container_info!$G$2:$H$45,2)</f>
        <v>582</v>
      </c>
      <c r="N50">
        <v>4</v>
      </c>
      <c r="O50" s="2">
        <f>I50-B50</f>
        <v>3.8194444444444475E-2</v>
      </c>
      <c r="P50" s="5">
        <f t="shared" si="36"/>
        <v>3.8194444444444475E-2</v>
      </c>
      <c r="Q50" s="5">
        <f t="shared" si="3"/>
        <v>-0.30000000000000071</v>
      </c>
      <c r="R50" s="4">
        <f>E50-F50</f>
        <v>1.4899999999999984</v>
      </c>
      <c r="S50" s="5">
        <f t="shared" si="37"/>
        <v>8.6717999999999908E-4</v>
      </c>
      <c r="T50" s="5" t="e">
        <f t="shared" si="38"/>
        <v>#N/A</v>
      </c>
      <c r="U50" s="3">
        <f>AVERAGE(G50:H50)</f>
        <v>11.85</v>
      </c>
      <c r="V50" s="5">
        <v>6.6777497326203092E-3</v>
      </c>
      <c r="AM50">
        <f t="shared" si="4"/>
        <v>2.9655833333333336E-4</v>
      </c>
      <c r="AN50">
        <f t="shared" ref="AN50:AO50" si="55">AM50*1000</f>
        <v>0.29655833333333337</v>
      </c>
      <c r="AO50">
        <f t="shared" si="55"/>
        <v>296.55833333333339</v>
      </c>
      <c r="AP50">
        <f t="shared" si="6"/>
        <v>4.9426388888888901</v>
      </c>
      <c r="AR50">
        <v>12</v>
      </c>
      <c r="AS50">
        <v>11.65</v>
      </c>
      <c r="AT50">
        <v>7.1174000000000003E-3</v>
      </c>
      <c r="AU50" t="s">
        <v>67</v>
      </c>
      <c r="AV50" t="s">
        <v>65</v>
      </c>
      <c r="AW50" t="s">
        <v>57</v>
      </c>
      <c r="AX50">
        <v>4</v>
      </c>
      <c r="AY50" t="s">
        <v>58</v>
      </c>
    </row>
    <row r="51" spans="1:51" x14ac:dyDescent="0.3">
      <c r="A51" s="1">
        <v>45048</v>
      </c>
      <c r="B51" s="2">
        <v>0.17361111111111113</v>
      </c>
      <c r="C51">
        <v>2</v>
      </c>
      <c r="D51" t="s">
        <v>17</v>
      </c>
      <c r="E51">
        <v>10.28</v>
      </c>
      <c r="F51">
        <v>8.0500000000000007</v>
      </c>
      <c r="G51" s="3">
        <v>11.8</v>
      </c>
      <c r="H51" s="3">
        <v>11.6</v>
      </c>
      <c r="I51" s="2">
        <v>0.21180555555555555</v>
      </c>
      <c r="J51" t="e">
        <f>VLOOKUP(D51,Fish_Container_info!$A$2:$E$20,4)</f>
        <v>#N/A</v>
      </c>
      <c r="K51" t="e">
        <f>VLOOKUP(D51,Fish_Container_info!$A$2:$D$20,2)</f>
        <v>#N/A</v>
      </c>
      <c r="L51" t="e">
        <f>VLOOKUP(D51,Fish_Container_info!$A$2:$D$20,3)</f>
        <v>#N/A</v>
      </c>
      <c r="M51">
        <f>VLOOKUP(C51,Fish_Container_info!$G$2:$H$45,2)</f>
        <v>406</v>
      </c>
      <c r="N51">
        <v>3</v>
      </c>
      <c r="O51" s="2">
        <f>I51-B51</f>
        <v>3.819444444444442E-2</v>
      </c>
      <c r="P51" s="5">
        <f t="shared" si="36"/>
        <v>3.819444444444442E-2</v>
      </c>
      <c r="Q51" s="5">
        <f t="shared" si="3"/>
        <v>-0.20000000000000107</v>
      </c>
      <c r="R51" s="4">
        <f>E51-F51</f>
        <v>2.2299999999999986</v>
      </c>
      <c r="S51" s="5">
        <f t="shared" si="37"/>
        <v>9.0537999999999947E-4</v>
      </c>
      <c r="T51" s="5" t="e">
        <f t="shared" si="38"/>
        <v>#N/A</v>
      </c>
      <c r="U51" s="3">
        <f>AVERAGE(G51:H51)</f>
        <v>11.7</v>
      </c>
      <c r="V51" s="5">
        <v>1.0774770247933885E-2</v>
      </c>
      <c r="AM51">
        <f t="shared" si="4"/>
        <v>2.782395833333333E-4</v>
      </c>
      <c r="AN51">
        <f t="shared" ref="AN51:AO51" si="56">AM51*1000</f>
        <v>0.27823958333333332</v>
      </c>
      <c r="AO51">
        <f t="shared" si="56"/>
        <v>278.23958333333331</v>
      </c>
      <c r="AP51">
        <f t="shared" si="6"/>
        <v>4.6373263888888889</v>
      </c>
      <c r="AR51">
        <v>12</v>
      </c>
      <c r="AS51">
        <v>11.85</v>
      </c>
      <c r="AT51">
        <v>6.6777499999999997E-3</v>
      </c>
      <c r="AU51" t="s">
        <v>64</v>
      </c>
      <c r="AV51" t="s">
        <v>65</v>
      </c>
      <c r="AW51" t="s">
        <v>57</v>
      </c>
      <c r="AX51">
        <v>4</v>
      </c>
      <c r="AY51" t="s">
        <v>58</v>
      </c>
    </row>
    <row r="52" spans="1:51" x14ac:dyDescent="0.3">
      <c r="A52" s="1">
        <v>45048</v>
      </c>
      <c r="B52" s="2">
        <v>0.23819444444444446</v>
      </c>
      <c r="C52">
        <v>1</v>
      </c>
      <c r="D52" t="s">
        <v>15</v>
      </c>
      <c r="E52">
        <v>10.49</v>
      </c>
      <c r="F52">
        <v>9.1300000000000008</v>
      </c>
      <c r="G52" s="3">
        <v>11.6</v>
      </c>
      <c r="H52" s="3">
        <v>11.5</v>
      </c>
      <c r="I52" s="2">
        <v>0.28055555555555556</v>
      </c>
      <c r="J52" t="e">
        <f>VLOOKUP(D52,Fish_Container_info!$A$2:$E$20,4)</f>
        <v>#N/A</v>
      </c>
      <c r="K52" t="e">
        <f>VLOOKUP(D52,Fish_Container_info!$A$2:$D$20,2)</f>
        <v>#N/A</v>
      </c>
      <c r="L52" t="e">
        <f>VLOOKUP(D52,Fish_Container_info!$A$2:$D$20,3)</f>
        <v>#N/A</v>
      </c>
      <c r="M52">
        <f>VLOOKUP(C52,Fish_Container_info!$G$2:$H$45,2)</f>
        <v>582</v>
      </c>
      <c r="N52">
        <v>5</v>
      </c>
      <c r="O52" s="2">
        <f>I52-B52</f>
        <v>4.2361111111111099E-2</v>
      </c>
      <c r="P52" s="5">
        <f t="shared" si="36"/>
        <v>4.2361111111111099E-2</v>
      </c>
      <c r="Q52" s="5">
        <f t="shared" si="3"/>
        <v>-9.9999999999999645E-2</v>
      </c>
      <c r="R52" s="4">
        <f>E52-F52</f>
        <v>1.3599999999999994</v>
      </c>
      <c r="S52" s="5">
        <f t="shared" si="37"/>
        <v>7.9151999999999966E-4</v>
      </c>
      <c r="T52" s="5" t="e">
        <f t="shared" si="38"/>
        <v>#N/A</v>
      </c>
      <c r="U52" s="3">
        <f>AVERAGE(G52:H52)</f>
        <v>11.55</v>
      </c>
      <c r="V52" s="5">
        <v>5.4956065573770483E-3</v>
      </c>
      <c r="AM52">
        <f t="shared" si="4"/>
        <v>4.4894875E-4</v>
      </c>
      <c r="AN52">
        <f t="shared" ref="AN52:AO52" si="57">AM52*1000</f>
        <v>0.44894875000000001</v>
      </c>
      <c r="AO52">
        <f t="shared" si="57"/>
        <v>448.94875000000002</v>
      </c>
      <c r="AP52">
        <f t="shared" si="6"/>
        <v>7.4824791666666668</v>
      </c>
      <c r="AR52">
        <v>12</v>
      </c>
      <c r="AS52">
        <v>11.7</v>
      </c>
      <c r="AT52">
        <v>1.0774769999999999E-2</v>
      </c>
      <c r="AU52" t="s">
        <v>66</v>
      </c>
      <c r="AV52" t="s">
        <v>65</v>
      </c>
      <c r="AW52" t="s">
        <v>57</v>
      </c>
      <c r="AX52">
        <v>3</v>
      </c>
      <c r="AY52" t="s">
        <v>58</v>
      </c>
    </row>
    <row r="53" spans="1:51" x14ac:dyDescent="0.3">
      <c r="A53" s="1">
        <v>45048</v>
      </c>
      <c r="B53" s="2">
        <v>0.24166666666666667</v>
      </c>
      <c r="C53">
        <v>3</v>
      </c>
      <c r="D53" t="s">
        <v>18</v>
      </c>
      <c r="E53">
        <v>7.24</v>
      </c>
      <c r="F53">
        <v>5.97</v>
      </c>
      <c r="G53" s="3">
        <v>11.6</v>
      </c>
      <c r="H53" s="3">
        <v>11.6</v>
      </c>
      <c r="I53" s="2">
        <v>0.28680555555555554</v>
      </c>
      <c r="J53" t="e">
        <f>VLOOKUP(D53,Fish_Container_info!$A$2:$E$20,4)</f>
        <v>#N/A</v>
      </c>
      <c r="K53" t="e">
        <f>VLOOKUP(D53,Fish_Container_info!$A$2:$D$20,2)</f>
        <v>#N/A</v>
      </c>
      <c r="L53" t="e">
        <f>VLOOKUP(D53,Fish_Container_info!$A$2:$D$20,3)</f>
        <v>#N/A</v>
      </c>
      <c r="M53">
        <f>VLOOKUP(C53,Fish_Container_info!$G$2:$H$45,2)</f>
        <v>362</v>
      </c>
      <c r="N53">
        <v>5</v>
      </c>
      <c r="O53" s="2">
        <f>I53-B53</f>
        <v>4.5138888888888867E-2</v>
      </c>
      <c r="P53" s="5">
        <f t="shared" si="36"/>
        <v>4.5138888888888867E-2</v>
      </c>
      <c r="Q53" s="5">
        <f t="shared" si="3"/>
        <v>0</v>
      </c>
      <c r="R53" s="4">
        <f>E53-F53</f>
        <v>1.2700000000000005</v>
      </c>
      <c r="S53" s="5">
        <f t="shared" si="37"/>
        <v>4.5974000000000015E-4</v>
      </c>
      <c r="T53" s="5" t="e">
        <f t="shared" si="38"/>
        <v>#N/A</v>
      </c>
      <c r="U53" s="3">
        <f>AVERAGE(G53:H53)</f>
        <v>11.6</v>
      </c>
      <c r="V53" s="5">
        <v>4.4282648829431477E-3</v>
      </c>
      <c r="AM53">
        <f t="shared" si="4"/>
        <v>2.2898362499999998E-4</v>
      </c>
      <c r="AN53">
        <f t="shared" ref="AN53:AO53" si="58">AM53*1000</f>
        <v>0.22898362499999997</v>
      </c>
      <c r="AO53">
        <f t="shared" si="58"/>
        <v>228.98362499999996</v>
      </c>
      <c r="AP53">
        <f t="shared" si="6"/>
        <v>3.8163937499999991</v>
      </c>
      <c r="AR53">
        <v>12</v>
      </c>
      <c r="AS53">
        <v>11.55</v>
      </c>
      <c r="AT53">
        <v>5.4956069999999996E-3</v>
      </c>
      <c r="AU53" t="s">
        <v>64</v>
      </c>
      <c r="AV53" t="s">
        <v>65</v>
      </c>
      <c r="AW53" t="s">
        <v>57</v>
      </c>
      <c r="AX53">
        <v>5</v>
      </c>
      <c r="AY53" t="s">
        <v>58</v>
      </c>
    </row>
    <row r="54" spans="1:51" x14ac:dyDescent="0.3">
      <c r="A54" s="1">
        <v>45048</v>
      </c>
      <c r="B54" s="2">
        <v>0.24374999999999999</v>
      </c>
      <c r="C54">
        <v>2</v>
      </c>
      <c r="D54" t="s">
        <v>17</v>
      </c>
      <c r="E54">
        <v>10.43</v>
      </c>
      <c r="F54">
        <v>7.99</v>
      </c>
      <c r="G54" s="3">
        <v>11.5</v>
      </c>
      <c r="H54" s="3">
        <v>11.5</v>
      </c>
      <c r="I54" s="2">
        <v>0.28472222222222221</v>
      </c>
      <c r="J54" t="e">
        <f>VLOOKUP(D54,Fish_Container_info!$A$2:$E$20,4)</f>
        <v>#N/A</v>
      </c>
      <c r="K54" t="e">
        <f>VLOOKUP(D54,Fish_Container_info!$A$2:$D$20,2)</f>
        <v>#N/A</v>
      </c>
      <c r="L54" t="e">
        <f>VLOOKUP(D54,Fish_Container_info!$A$2:$D$20,3)</f>
        <v>#N/A</v>
      </c>
      <c r="M54">
        <f>VLOOKUP(C54,Fish_Container_info!$G$2:$H$45,2)</f>
        <v>406</v>
      </c>
      <c r="N54">
        <v>4</v>
      </c>
      <c r="O54" s="2">
        <f>I54-B54</f>
        <v>4.0972222222222215E-2</v>
      </c>
      <c r="P54" s="5">
        <f t="shared" si="36"/>
        <v>4.0972222222222215E-2</v>
      </c>
      <c r="Q54" s="5">
        <f t="shared" si="3"/>
        <v>0</v>
      </c>
      <c r="R54" s="4">
        <f>E54-F54</f>
        <v>2.4399999999999995</v>
      </c>
      <c r="S54" s="5">
        <f t="shared" si="37"/>
        <v>9.9063999999999988E-4</v>
      </c>
      <c r="T54" s="5" t="e">
        <f t="shared" si="38"/>
        <v>#N/A</v>
      </c>
      <c r="U54" s="3">
        <f>AVERAGE(G54:H54)</f>
        <v>11.5</v>
      </c>
      <c r="V54" s="5">
        <v>1.0990151001540832E-2</v>
      </c>
      <c r="AM54">
        <f t="shared" si="4"/>
        <v>1.8451104166666667E-4</v>
      </c>
      <c r="AN54">
        <f t="shared" ref="AN54:AO54" si="59">AM54*1000</f>
        <v>0.18451104166666668</v>
      </c>
      <c r="AO54">
        <f t="shared" si="59"/>
        <v>184.51104166666667</v>
      </c>
      <c r="AP54">
        <f t="shared" si="6"/>
        <v>3.075184027777778</v>
      </c>
      <c r="AR54">
        <v>12</v>
      </c>
      <c r="AS54">
        <v>11.6</v>
      </c>
      <c r="AT54">
        <v>4.4282649999999998E-3</v>
      </c>
      <c r="AU54" t="s">
        <v>67</v>
      </c>
      <c r="AV54" t="s">
        <v>65</v>
      </c>
      <c r="AW54" t="s">
        <v>57</v>
      </c>
      <c r="AX54">
        <v>5</v>
      </c>
      <c r="AY54" t="s">
        <v>58</v>
      </c>
    </row>
    <row r="55" spans="1:51" x14ac:dyDescent="0.3">
      <c r="A55" s="1">
        <v>45048</v>
      </c>
      <c r="B55" s="2">
        <v>0.32361111111111113</v>
      </c>
      <c r="C55">
        <v>1</v>
      </c>
      <c r="D55" t="s">
        <v>15</v>
      </c>
      <c r="E55">
        <v>10.48</v>
      </c>
      <c r="F55">
        <v>8.23</v>
      </c>
      <c r="G55" s="3">
        <v>13.95</v>
      </c>
      <c r="H55" s="3">
        <v>12.9</v>
      </c>
      <c r="I55" s="2">
        <v>0.3666666666666667</v>
      </c>
      <c r="J55" t="e">
        <f>VLOOKUP(D55,Fish_Container_info!$A$2:$E$20,4)</f>
        <v>#N/A</v>
      </c>
      <c r="K55" t="e">
        <f>VLOOKUP(D55,Fish_Container_info!$A$2:$D$20,2)</f>
        <v>#N/A</v>
      </c>
      <c r="L55" t="e">
        <f>VLOOKUP(D55,Fish_Container_info!$A$2:$D$20,3)</f>
        <v>#N/A</v>
      </c>
      <c r="M55">
        <f>VLOOKUP(C55,Fish_Container_info!$G$2:$H$45,2)</f>
        <v>582</v>
      </c>
      <c r="N55">
        <v>6</v>
      </c>
      <c r="O55" s="2">
        <f>I55-B55</f>
        <v>4.3055555555555569E-2</v>
      </c>
      <c r="P55" s="5">
        <f t="shared" si="36"/>
        <v>4.3055555555555569E-2</v>
      </c>
      <c r="Q55" s="5">
        <f t="shared" si="3"/>
        <v>-1.0499999999999989</v>
      </c>
      <c r="R55" s="4">
        <f>E55-F55</f>
        <v>2.25</v>
      </c>
      <c r="S55" s="5">
        <f t="shared" si="37"/>
        <v>1.3094999999999999E-3</v>
      </c>
      <c r="T55" s="5" t="e">
        <f t="shared" si="38"/>
        <v>#N/A</v>
      </c>
      <c r="U55" s="3">
        <f>AVERAGE(G55:H55)</f>
        <v>13.425000000000001</v>
      </c>
      <c r="V55" s="5">
        <v>8.9453510436432598E-3</v>
      </c>
      <c r="AM55">
        <f t="shared" si="4"/>
        <v>4.5792295833333336E-4</v>
      </c>
      <c r="AN55">
        <f t="shared" ref="AN55:AO55" si="60">AM55*1000</f>
        <v>0.45792295833333335</v>
      </c>
      <c r="AO55">
        <f t="shared" si="60"/>
        <v>457.92295833333333</v>
      </c>
      <c r="AP55">
        <f t="shared" si="6"/>
        <v>7.6320493055555554</v>
      </c>
      <c r="AR55">
        <v>12</v>
      </c>
      <c r="AS55">
        <v>11.5</v>
      </c>
      <c r="AT55">
        <v>1.0990151E-2</v>
      </c>
      <c r="AU55" t="s">
        <v>66</v>
      </c>
      <c r="AV55" t="s">
        <v>65</v>
      </c>
      <c r="AW55" t="s">
        <v>57</v>
      </c>
      <c r="AX55">
        <v>4</v>
      </c>
      <c r="AY55" t="s">
        <v>58</v>
      </c>
    </row>
    <row r="56" spans="1:51" x14ac:dyDescent="0.3">
      <c r="A56" s="1">
        <v>45048</v>
      </c>
      <c r="B56" s="2">
        <v>0.32569444444444445</v>
      </c>
      <c r="C56">
        <v>2</v>
      </c>
      <c r="D56" t="s">
        <v>17</v>
      </c>
      <c r="E56">
        <v>9.8000000000000007</v>
      </c>
      <c r="F56">
        <v>7.07</v>
      </c>
      <c r="G56" s="3">
        <v>13.5</v>
      </c>
      <c r="H56" s="3">
        <v>12.9</v>
      </c>
      <c r="I56" s="2">
        <v>0.36874999999999997</v>
      </c>
      <c r="J56" t="e">
        <f>VLOOKUP(D56,Fish_Container_info!$A$2:$E$20,4)</f>
        <v>#N/A</v>
      </c>
      <c r="K56" t="e">
        <f>VLOOKUP(D56,Fish_Container_info!$A$2:$D$20,2)</f>
        <v>#N/A</v>
      </c>
      <c r="L56" t="e">
        <f>VLOOKUP(D56,Fish_Container_info!$A$2:$D$20,3)</f>
        <v>#N/A</v>
      </c>
      <c r="M56">
        <f>VLOOKUP(C56,Fish_Container_info!$G$2:$H$45,2)</f>
        <v>406</v>
      </c>
      <c r="N56">
        <v>5</v>
      </c>
      <c r="O56" s="2">
        <f>I56-B56</f>
        <v>4.3055555555555514E-2</v>
      </c>
      <c r="P56" s="5">
        <f t="shared" si="36"/>
        <v>4.3055555555555514E-2</v>
      </c>
      <c r="Q56" s="5">
        <f t="shared" si="3"/>
        <v>-0.59999999999999964</v>
      </c>
      <c r="R56" s="4">
        <f>E56-F56</f>
        <v>2.7300000000000004</v>
      </c>
      <c r="S56" s="5">
        <f t="shared" si="37"/>
        <v>1.1083800000000002E-3</v>
      </c>
      <c r="T56" s="5" t="e">
        <f t="shared" si="38"/>
        <v>#N/A</v>
      </c>
      <c r="U56" s="3">
        <f>AVERAGE(G56:H56)</f>
        <v>13.2</v>
      </c>
      <c r="V56" s="5">
        <v>1.1701372434017608E-2</v>
      </c>
      <c r="AM56">
        <f t="shared" si="4"/>
        <v>3.7272295833333334E-4</v>
      </c>
      <c r="AN56">
        <f t="shared" ref="AN56:AO56" si="61">AM56*1000</f>
        <v>0.37272295833333335</v>
      </c>
      <c r="AO56">
        <f t="shared" si="61"/>
        <v>372.72295833333334</v>
      </c>
      <c r="AP56">
        <f t="shared" si="6"/>
        <v>6.2120493055555555</v>
      </c>
      <c r="AR56">
        <v>13</v>
      </c>
      <c r="AS56">
        <v>13.425000000000001</v>
      </c>
      <c r="AT56">
        <v>8.9453510000000007E-3</v>
      </c>
      <c r="AU56" t="s">
        <v>64</v>
      </c>
      <c r="AV56" t="s">
        <v>65</v>
      </c>
      <c r="AW56" t="s">
        <v>57</v>
      </c>
      <c r="AX56">
        <v>6</v>
      </c>
      <c r="AY56" t="s">
        <v>58</v>
      </c>
    </row>
    <row r="57" spans="1:51" x14ac:dyDescent="0.3">
      <c r="A57" s="1">
        <v>45048</v>
      </c>
      <c r="B57" s="2">
        <v>0.32777777777777778</v>
      </c>
      <c r="C57">
        <v>3</v>
      </c>
      <c r="D57" t="s">
        <v>18</v>
      </c>
      <c r="E57">
        <v>10.3</v>
      </c>
      <c r="F57">
        <v>8.06</v>
      </c>
      <c r="G57" s="3">
        <v>13.7</v>
      </c>
      <c r="H57" s="3">
        <v>13</v>
      </c>
      <c r="I57" s="2">
        <v>0.37013888888888885</v>
      </c>
      <c r="J57" t="e">
        <f>VLOOKUP(D57,Fish_Container_info!$A$2:$E$20,4)</f>
        <v>#N/A</v>
      </c>
      <c r="K57" t="e">
        <f>VLOOKUP(D57,Fish_Container_info!$A$2:$D$20,2)</f>
        <v>#N/A</v>
      </c>
      <c r="L57" t="e">
        <f>VLOOKUP(D57,Fish_Container_info!$A$2:$D$20,3)</f>
        <v>#N/A</v>
      </c>
      <c r="M57">
        <f>VLOOKUP(C57,Fish_Container_info!$G$2:$H$45,2)</f>
        <v>362</v>
      </c>
      <c r="N57">
        <v>6</v>
      </c>
      <c r="O57" s="2">
        <f>I57-B57</f>
        <v>4.2361111111111072E-2</v>
      </c>
      <c r="P57" s="5">
        <f t="shared" si="36"/>
        <v>4.2361111111111072E-2</v>
      </c>
      <c r="Q57" s="5">
        <f t="shared" si="3"/>
        <v>-0.69999999999999929</v>
      </c>
      <c r="R57" s="4">
        <f>E57-F57</f>
        <v>2.2400000000000002</v>
      </c>
      <c r="S57" s="5">
        <f t="shared" si="37"/>
        <v>8.1088000000000004E-4</v>
      </c>
      <c r="T57" s="5" t="e">
        <f t="shared" si="38"/>
        <v>#N/A</v>
      </c>
      <c r="U57" s="3">
        <f>AVERAGE(G57:H57)</f>
        <v>13.35</v>
      </c>
      <c r="V57" s="5">
        <v>8.3226457590876782E-3</v>
      </c>
      <c r="AM57">
        <f t="shared" si="4"/>
        <v>4.8755716666666664E-4</v>
      </c>
      <c r="AN57">
        <f t="shared" ref="AN57:AO57" si="62">AM57*1000</f>
        <v>0.48755716666666665</v>
      </c>
      <c r="AO57">
        <f t="shared" si="62"/>
        <v>487.55716666666666</v>
      </c>
      <c r="AP57">
        <f t="shared" si="6"/>
        <v>8.125952777777778</v>
      </c>
      <c r="AR57">
        <v>13</v>
      </c>
      <c r="AS57">
        <v>13.2</v>
      </c>
      <c r="AT57">
        <v>1.1701372E-2</v>
      </c>
      <c r="AU57" t="s">
        <v>66</v>
      </c>
      <c r="AV57" t="s">
        <v>65</v>
      </c>
      <c r="AW57" t="s">
        <v>57</v>
      </c>
      <c r="AX57">
        <v>5</v>
      </c>
      <c r="AY57" t="s">
        <v>58</v>
      </c>
    </row>
    <row r="58" spans="1:51" x14ac:dyDescent="0.3">
      <c r="A58" s="1">
        <v>45048</v>
      </c>
      <c r="B58" s="2">
        <v>0.39513888888888887</v>
      </c>
      <c r="C58">
        <v>1</v>
      </c>
      <c r="D58" t="s">
        <v>15</v>
      </c>
      <c r="E58">
        <v>7.31</v>
      </c>
      <c r="F58">
        <v>6.5</v>
      </c>
      <c r="G58" s="3">
        <v>13.8</v>
      </c>
      <c r="H58" s="3">
        <v>14.7</v>
      </c>
      <c r="I58" s="2">
        <v>0.43055555555555558</v>
      </c>
      <c r="J58" t="e">
        <f>VLOOKUP(D58,Fish_Container_info!$A$2:$E$20,4)</f>
        <v>#N/A</v>
      </c>
      <c r="K58" t="e">
        <f>VLOOKUP(D58,Fish_Container_info!$A$2:$D$20,2)</f>
        <v>#N/A</v>
      </c>
      <c r="L58" t="e">
        <f>VLOOKUP(D58,Fish_Container_info!$A$2:$D$20,3)</f>
        <v>#N/A</v>
      </c>
      <c r="M58">
        <f>VLOOKUP(C58,Fish_Container_info!$G$2:$H$45,2)</f>
        <v>582</v>
      </c>
      <c r="N58">
        <v>7</v>
      </c>
      <c r="O58" s="2">
        <f>I58-B58</f>
        <v>3.5416666666666707E-2</v>
      </c>
      <c r="P58" s="5">
        <f t="shared" si="36"/>
        <v>3.5416666666666707E-2</v>
      </c>
      <c r="Q58" s="5">
        <f t="shared" si="3"/>
        <v>0.89999999999999858</v>
      </c>
      <c r="R58" s="4">
        <f>E58-F58</f>
        <v>0.80999999999999961</v>
      </c>
      <c r="S58" s="5">
        <f t="shared" si="37"/>
        <v>4.7141999999999974E-4</v>
      </c>
      <c r="T58" s="5" t="e">
        <f t="shared" si="38"/>
        <v>#N/A</v>
      </c>
      <c r="U58" s="3">
        <f>AVERAGE(G58:H58)</f>
        <v>14.25</v>
      </c>
      <c r="V58" s="5">
        <v>3.9149065743944575E-3</v>
      </c>
      <c r="AM58">
        <f t="shared" si="4"/>
        <v>3.4677691666666665E-4</v>
      </c>
      <c r="AN58">
        <f t="shared" ref="AN58:AO58" si="63">AM58*1000</f>
        <v>0.34677691666666666</v>
      </c>
      <c r="AO58">
        <f t="shared" si="63"/>
        <v>346.77691666666664</v>
      </c>
      <c r="AP58">
        <f t="shared" si="6"/>
        <v>5.7796152777777774</v>
      </c>
      <c r="AR58">
        <v>13</v>
      </c>
      <c r="AS58">
        <v>13.35</v>
      </c>
      <c r="AT58">
        <v>8.3226459999999995E-3</v>
      </c>
      <c r="AU58" t="s">
        <v>67</v>
      </c>
      <c r="AV58" t="s">
        <v>65</v>
      </c>
      <c r="AW58" t="s">
        <v>57</v>
      </c>
      <c r="AX58">
        <v>6</v>
      </c>
      <c r="AY58" t="s">
        <v>58</v>
      </c>
    </row>
    <row r="59" spans="1:51" x14ac:dyDescent="0.3">
      <c r="A59" s="1">
        <v>45048</v>
      </c>
      <c r="B59" s="2">
        <v>0.3972222222222222</v>
      </c>
      <c r="C59">
        <v>2</v>
      </c>
      <c r="D59" t="s">
        <v>17</v>
      </c>
      <c r="E59">
        <v>9.5299999999999994</v>
      </c>
      <c r="F59">
        <v>7.76</v>
      </c>
      <c r="G59" s="3">
        <v>13.9</v>
      </c>
      <c r="H59" s="3">
        <v>14.9</v>
      </c>
      <c r="I59" s="2">
        <v>0.43333333333333335</v>
      </c>
      <c r="J59" t="e">
        <f>VLOOKUP(D59,Fish_Container_info!$A$2:$E$20,4)</f>
        <v>#N/A</v>
      </c>
      <c r="K59" t="e">
        <f>VLOOKUP(D59,Fish_Container_info!$A$2:$D$20,2)</f>
        <v>#N/A</v>
      </c>
      <c r="L59" t="e">
        <f>VLOOKUP(D59,Fish_Container_info!$A$2:$D$20,3)</f>
        <v>#N/A</v>
      </c>
      <c r="M59">
        <f>VLOOKUP(C59,Fish_Container_info!$G$2:$H$45,2)</f>
        <v>406</v>
      </c>
      <c r="N59">
        <v>6</v>
      </c>
      <c r="O59" s="2">
        <f>I59-B59</f>
        <v>3.6111111111111149E-2</v>
      </c>
      <c r="P59" s="5">
        <f t="shared" si="36"/>
        <v>3.6111111111111149E-2</v>
      </c>
      <c r="Q59" s="5">
        <f t="shared" si="3"/>
        <v>1</v>
      </c>
      <c r="R59" s="4">
        <f>E59-F59</f>
        <v>1.7699999999999996</v>
      </c>
      <c r="S59" s="5">
        <f t="shared" si="37"/>
        <v>7.1861999999999989E-4</v>
      </c>
      <c r="T59" s="5" t="e">
        <f t="shared" si="38"/>
        <v>#N/A</v>
      </c>
      <c r="U59" s="3">
        <f>AVERAGE(G59:H59)</f>
        <v>14.4</v>
      </c>
      <c r="V59" s="5">
        <v>9.045566433566422E-3</v>
      </c>
      <c r="AM59">
        <f t="shared" si="4"/>
        <v>1.6312112499999997E-4</v>
      </c>
      <c r="AN59">
        <f t="shared" ref="AN59:AO59" si="64">AM59*1000</f>
        <v>0.16312112499999998</v>
      </c>
      <c r="AO59">
        <f t="shared" si="64"/>
        <v>163.12112499999998</v>
      </c>
      <c r="AP59">
        <f t="shared" si="6"/>
        <v>2.7186854166666663</v>
      </c>
      <c r="AR59">
        <v>14</v>
      </c>
      <c r="AS59">
        <v>14.25</v>
      </c>
      <c r="AT59">
        <v>3.9149069999999996E-3</v>
      </c>
      <c r="AU59" t="s">
        <v>64</v>
      </c>
      <c r="AV59" t="s">
        <v>65</v>
      </c>
      <c r="AW59" t="s">
        <v>57</v>
      </c>
      <c r="AX59">
        <v>7</v>
      </c>
      <c r="AY59" t="s">
        <v>58</v>
      </c>
    </row>
    <row r="60" spans="1:51" x14ac:dyDescent="0.3">
      <c r="A60" s="1">
        <v>45048</v>
      </c>
      <c r="B60" s="2">
        <v>0.40069444444444446</v>
      </c>
      <c r="C60">
        <v>3</v>
      </c>
      <c r="D60" t="s">
        <v>18</v>
      </c>
      <c r="E60">
        <v>7.12</v>
      </c>
      <c r="F60">
        <v>5.69</v>
      </c>
      <c r="G60" s="3">
        <v>14</v>
      </c>
      <c r="H60" s="3">
        <v>15.2</v>
      </c>
      <c r="I60" s="2">
        <v>0.4381944444444445</v>
      </c>
      <c r="J60" t="e">
        <f>VLOOKUP(D60,Fish_Container_info!$A$2:$E$20,4)</f>
        <v>#N/A</v>
      </c>
      <c r="K60" t="e">
        <f>VLOOKUP(D60,Fish_Container_info!$A$2:$D$20,2)</f>
        <v>#N/A</v>
      </c>
      <c r="L60" t="e">
        <f>VLOOKUP(D60,Fish_Container_info!$A$2:$D$20,3)</f>
        <v>#N/A</v>
      </c>
      <c r="M60">
        <f>VLOOKUP(C60,Fish_Container_info!$G$2:$H$45,2)</f>
        <v>362</v>
      </c>
      <c r="N60">
        <v>7</v>
      </c>
      <c r="O60" s="2">
        <f>I60-B60</f>
        <v>3.7500000000000033E-2</v>
      </c>
      <c r="P60" s="5">
        <f t="shared" si="36"/>
        <v>3.7500000000000033E-2</v>
      </c>
      <c r="Q60" s="5">
        <f t="shared" si="3"/>
        <v>1.1999999999999993</v>
      </c>
      <c r="R60" s="4">
        <f>E60-F60</f>
        <v>1.4299999999999997</v>
      </c>
      <c r="S60" s="5">
        <f t="shared" si="37"/>
        <v>5.1765999999999987E-4</v>
      </c>
      <c r="T60" s="5" t="e">
        <f t="shared" si="38"/>
        <v>#N/A</v>
      </c>
      <c r="U60" s="3">
        <f>AVERAGE(G60:H60)</f>
        <v>14.6</v>
      </c>
      <c r="V60" s="5">
        <v>6.0018550724637611E-3</v>
      </c>
      <c r="AM60">
        <f t="shared" si="4"/>
        <v>3.7689858333333332E-4</v>
      </c>
      <c r="AN60">
        <f t="shared" ref="AN60:AO60" si="65">AM60*1000</f>
        <v>0.37689858333333331</v>
      </c>
      <c r="AO60">
        <f t="shared" si="65"/>
        <v>376.89858333333331</v>
      </c>
      <c r="AP60">
        <f t="shared" si="6"/>
        <v>6.2816430555555547</v>
      </c>
      <c r="AR60">
        <v>14</v>
      </c>
      <c r="AS60">
        <v>14.4</v>
      </c>
      <c r="AT60">
        <v>9.0455659999999997E-3</v>
      </c>
      <c r="AU60" t="s">
        <v>66</v>
      </c>
      <c r="AV60" t="s">
        <v>65</v>
      </c>
      <c r="AW60" t="s">
        <v>57</v>
      </c>
      <c r="AX60">
        <v>6</v>
      </c>
      <c r="AY60" t="s">
        <v>58</v>
      </c>
    </row>
    <row r="61" spans="1:51" x14ac:dyDescent="0.3">
      <c r="A61" s="1">
        <v>45048</v>
      </c>
      <c r="B61" s="2">
        <v>0.46666666666666662</v>
      </c>
      <c r="C61">
        <v>1</v>
      </c>
      <c r="D61" t="s">
        <v>15</v>
      </c>
      <c r="E61">
        <v>9.0299999999999994</v>
      </c>
      <c r="F61">
        <v>7.67</v>
      </c>
      <c r="G61" s="3">
        <v>14.8</v>
      </c>
      <c r="H61" s="3">
        <v>16.600000000000001</v>
      </c>
      <c r="I61" s="2">
        <v>0.50416666666666665</v>
      </c>
      <c r="J61" t="e">
        <f>VLOOKUP(D61,Fish_Container_info!$A$2:$E$20,4)</f>
        <v>#N/A</v>
      </c>
      <c r="K61" t="e">
        <f>VLOOKUP(D61,Fish_Container_info!$A$2:$D$20,2)</f>
        <v>#N/A</v>
      </c>
      <c r="L61" t="e">
        <f>VLOOKUP(D61,Fish_Container_info!$A$2:$D$20,3)</f>
        <v>#N/A</v>
      </c>
      <c r="M61">
        <f>VLOOKUP(C61,Fish_Container_info!$G$2:$H$45,2)</f>
        <v>582</v>
      </c>
      <c r="N61">
        <v>8</v>
      </c>
      <c r="O61" s="2">
        <f>I61-B61</f>
        <v>3.7500000000000033E-2</v>
      </c>
      <c r="P61" s="5">
        <f t="shared" si="36"/>
        <v>3.7500000000000033E-2</v>
      </c>
      <c r="Q61" s="5">
        <f t="shared" si="3"/>
        <v>1.8000000000000007</v>
      </c>
      <c r="R61" s="4">
        <f>E61-F61</f>
        <v>1.3599999999999994</v>
      </c>
      <c r="S61" s="5">
        <f t="shared" si="37"/>
        <v>7.9151999999999966E-4</v>
      </c>
      <c r="T61" s="5" t="e">
        <f t="shared" si="38"/>
        <v>#N/A</v>
      </c>
      <c r="U61" s="3">
        <f>AVERAGE(G61:H61)</f>
        <v>15.700000000000001</v>
      </c>
      <c r="V61" s="5">
        <v>6.2079999999999922E-3</v>
      </c>
      <c r="AM61">
        <f t="shared" si="4"/>
        <v>2.500772916666667E-4</v>
      </c>
      <c r="AN61">
        <f t="shared" ref="AN61:AO61" si="66">AM61*1000</f>
        <v>0.2500772916666667</v>
      </c>
      <c r="AO61">
        <f t="shared" si="66"/>
        <v>250.0772916666667</v>
      </c>
      <c r="AP61">
        <f t="shared" si="6"/>
        <v>4.1679548611111112</v>
      </c>
      <c r="AR61">
        <v>15</v>
      </c>
      <c r="AS61">
        <v>14.6</v>
      </c>
      <c r="AT61">
        <v>6.0018550000000004E-3</v>
      </c>
      <c r="AU61" t="s">
        <v>67</v>
      </c>
      <c r="AV61" t="s">
        <v>65</v>
      </c>
      <c r="AW61" t="s">
        <v>57</v>
      </c>
      <c r="AX61">
        <v>7</v>
      </c>
      <c r="AY61" t="s">
        <v>58</v>
      </c>
    </row>
    <row r="62" spans="1:51" x14ac:dyDescent="0.3">
      <c r="A62" s="1">
        <v>45048</v>
      </c>
      <c r="B62" s="2">
        <v>0.4680555555555555</v>
      </c>
      <c r="C62">
        <v>2</v>
      </c>
      <c r="D62" t="s">
        <v>17</v>
      </c>
      <c r="E62">
        <v>9.5299999999999994</v>
      </c>
      <c r="F62">
        <v>8.1</v>
      </c>
      <c r="G62" s="3">
        <v>14.8</v>
      </c>
      <c r="H62" s="3">
        <v>16.7</v>
      </c>
      <c r="I62" s="2">
        <v>0.50555555555555554</v>
      </c>
      <c r="J62" t="e">
        <f>VLOOKUP(D62,Fish_Container_info!$A$2:$E$20,4)</f>
        <v>#N/A</v>
      </c>
      <c r="K62" t="e">
        <f>VLOOKUP(D62,Fish_Container_info!$A$2:$D$20,2)</f>
        <v>#N/A</v>
      </c>
      <c r="L62" t="e">
        <f>VLOOKUP(D62,Fish_Container_info!$A$2:$D$20,3)</f>
        <v>#N/A</v>
      </c>
      <c r="M62">
        <f>VLOOKUP(C62,Fish_Container_info!$G$2:$H$45,2)</f>
        <v>406</v>
      </c>
      <c r="N62">
        <v>7</v>
      </c>
      <c r="O62" s="2">
        <f>I62-B62</f>
        <v>3.7500000000000033E-2</v>
      </c>
      <c r="P62" s="5">
        <f t="shared" si="36"/>
        <v>3.7500000000000033E-2</v>
      </c>
      <c r="Q62" s="5">
        <f t="shared" si="3"/>
        <v>1.8999999999999986</v>
      </c>
      <c r="R62" s="4">
        <f>E62-F62</f>
        <v>1.4299999999999997</v>
      </c>
      <c r="S62" s="5">
        <f t="shared" si="37"/>
        <v>5.8057999999999992E-4</v>
      </c>
      <c r="T62" s="5" t="e">
        <f t="shared" si="38"/>
        <v>#N/A</v>
      </c>
      <c r="U62" s="3">
        <f>AVERAGE(G62:H62)</f>
        <v>15.75</v>
      </c>
      <c r="V62" s="5">
        <v>7.037333333333326E-3</v>
      </c>
      <c r="AM62">
        <f t="shared" si="4"/>
        <v>2.5866666666666665E-4</v>
      </c>
      <c r="AN62">
        <f t="shared" ref="AN62:AO62" si="67">AM62*1000</f>
        <v>0.25866666666666666</v>
      </c>
      <c r="AO62">
        <f t="shared" si="67"/>
        <v>258.66666666666663</v>
      </c>
      <c r="AP62">
        <f t="shared" si="6"/>
        <v>4.3111111111111109</v>
      </c>
      <c r="AR62">
        <v>16</v>
      </c>
      <c r="AS62">
        <v>15.7</v>
      </c>
      <c r="AT62">
        <v>6.208E-3</v>
      </c>
      <c r="AU62" t="s">
        <v>64</v>
      </c>
      <c r="AV62" t="s">
        <v>65</v>
      </c>
      <c r="AW62" t="s">
        <v>57</v>
      </c>
      <c r="AX62">
        <v>8</v>
      </c>
      <c r="AY62" t="s">
        <v>58</v>
      </c>
    </row>
    <row r="63" spans="1:51" x14ac:dyDescent="0.3">
      <c r="A63" s="1">
        <v>45048</v>
      </c>
      <c r="B63" s="2">
        <v>0.4694444444444445</v>
      </c>
      <c r="C63">
        <v>3</v>
      </c>
      <c r="D63" t="s">
        <v>18</v>
      </c>
      <c r="E63">
        <v>9.93</v>
      </c>
      <c r="F63">
        <v>8.25</v>
      </c>
      <c r="G63" s="3">
        <v>14.9</v>
      </c>
      <c r="H63" s="3">
        <v>16.399999999999999</v>
      </c>
      <c r="I63" s="2">
        <v>0.5083333333333333</v>
      </c>
      <c r="J63" t="e">
        <f>VLOOKUP(D63,Fish_Container_info!$A$2:$E$20,4)</f>
        <v>#N/A</v>
      </c>
      <c r="K63" t="e">
        <f>VLOOKUP(D63,Fish_Container_info!$A$2:$D$20,2)</f>
        <v>#N/A</v>
      </c>
      <c r="L63" t="e">
        <f>VLOOKUP(D63,Fish_Container_info!$A$2:$D$20,3)</f>
        <v>#N/A</v>
      </c>
      <c r="M63">
        <f>VLOOKUP(C63,Fish_Container_info!$G$2:$H$45,2)</f>
        <v>362</v>
      </c>
      <c r="N63">
        <v>8</v>
      </c>
      <c r="O63" s="2">
        <f>I63-B63</f>
        <v>3.8888888888888806E-2</v>
      </c>
      <c r="P63" s="5">
        <f t="shared" si="36"/>
        <v>3.8888888888888806E-2</v>
      </c>
      <c r="Q63" s="5">
        <f t="shared" si="3"/>
        <v>1.4999999999999982</v>
      </c>
      <c r="R63" s="4">
        <f>E63-F63</f>
        <v>1.6799999999999997</v>
      </c>
      <c r="S63" s="5">
        <f t="shared" si="37"/>
        <v>6.0815999999999995E-4</v>
      </c>
      <c r="T63" s="5" t="e">
        <f t="shared" si="38"/>
        <v>#N/A</v>
      </c>
      <c r="U63" s="3">
        <f>AVERAGE(G63:H63)</f>
        <v>15.649999999999999</v>
      </c>
      <c r="V63" s="5">
        <v>6.7993043478261021E-3</v>
      </c>
      <c r="AM63">
        <f t="shared" si="4"/>
        <v>2.9322220833333332E-4</v>
      </c>
      <c r="AN63">
        <f t="shared" ref="AN63:AO63" si="68">AM63*1000</f>
        <v>0.29322220833333335</v>
      </c>
      <c r="AO63">
        <f t="shared" si="68"/>
        <v>293.22220833333336</v>
      </c>
      <c r="AP63">
        <f t="shared" si="6"/>
        <v>4.8870368055555558</v>
      </c>
      <c r="AR63">
        <v>16</v>
      </c>
      <c r="AS63">
        <v>15.75</v>
      </c>
      <c r="AT63">
        <v>7.0373329999999998E-3</v>
      </c>
      <c r="AU63" t="s">
        <v>66</v>
      </c>
      <c r="AV63" t="s">
        <v>65</v>
      </c>
      <c r="AW63" t="s">
        <v>57</v>
      </c>
      <c r="AX63">
        <v>7</v>
      </c>
      <c r="AY63" t="s">
        <v>58</v>
      </c>
    </row>
    <row r="64" spans="1:51" x14ac:dyDescent="0.3">
      <c r="A64" s="1">
        <v>45048</v>
      </c>
      <c r="B64" s="2">
        <v>0.5493055555555556</v>
      </c>
      <c r="C64">
        <v>1</v>
      </c>
      <c r="D64" t="s">
        <v>15</v>
      </c>
      <c r="E64">
        <v>9.3800000000000008</v>
      </c>
      <c r="F64">
        <v>8.09</v>
      </c>
      <c r="G64" s="3">
        <v>17</v>
      </c>
      <c r="H64" s="3">
        <v>17.2</v>
      </c>
      <c r="I64" s="2">
        <v>0.58124999999999993</v>
      </c>
      <c r="J64" t="e">
        <f>VLOOKUP(D64,Fish_Container_info!$A$2:$E$20,4)</f>
        <v>#N/A</v>
      </c>
      <c r="K64" t="e">
        <f>VLOOKUP(D64,Fish_Container_info!$A$2:$D$20,2)</f>
        <v>#N/A</v>
      </c>
      <c r="L64" t="e">
        <f>VLOOKUP(D64,Fish_Container_info!$A$2:$D$20,3)</f>
        <v>#N/A</v>
      </c>
      <c r="M64">
        <f>VLOOKUP(C64,Fish_Container_info!$G$2:$H$45,2)</f>
        <v>582</v>
      </c>
      <c r="N64">
        <v>9</v>
      </c>
      <c r="O64" s="2">
        <f>I64-B64</f>
        <v>3.1944444444444331E-2</v>
      </c>
      <c r="P64" s="5">
        <f t="shared" si="36"/>
        <v>3.1944444444444331E-2</v>
      </c>
      <c r="Q64" s="5">
        <f t="shared" si="3"/>
        <v>0.19999999999999929</v>
      </c>
      <c r="R64" s="4">
        <f>E64-F64</f>
        <v>1.2900000000000009</v>
      </c>
      <c r="S64" s="5">
        <f t="shared" si="37"/>
        <v>7.5078000000000048E-4</v>
      </c>
      <c r="T64" s="5" t="e">
        <f t="shared" si="38"/>
        <v>#N/A</v>
      </c>
      <c r="U64" s="3">
        <f>AVERAGE(G64:H64)</f>
        <v>17.100000000000001</v>
      </c>
      <c r="V64" s="5">
        <v>6.9125524296675478E-3</v>
      </c>
      <c r="AM64">
        <f t="shared" si="4"/>
        <v>2.8330433333333333E-4</v>
      </c>
      <c r="AN64">
        <f t="shared" ref="AN64:AO64" si="69">AM64*1000</f>
        <v>0.28330433333333332</v>
      </c>
      <c r="AO64">
        <f t="shared" si="69"/>
        <v>283.30433333333332</v>
      </c>
      <c r="AP64">
        <f t="shared" si="6"/>
        <v>4.7217388888888889</v>
      </c>
      <c r="AR64">
        <v>16</v>
      </c>
      <c r="AS64">
        <v>15.65</v>
      </c>
      <c r="AT64">
        <v>6.7993039999999999E-3</v>
      </c>
      <c r="AU64" t="s">
        <v>67</v>
      </c>
      <c r="AV64" t="s">
        <v>65</v>
      </c>
      <c r="AW64" t="s">
        <v>57</v>
      </c>
      <c r="AX64">
        <v>8</v>
      </c>
      <c r="AY64" t="s">
        <v>58</v>
      </c>
    </row>
    <row r="65" spans="1:51" x14ac:dyDescent="0.3">
      <c r="A65" s="1">
        <v>45048</v>
      </c>
      <c r="B65" s="2">
        <v>0.55069444444444449</v>
      </c>
      <c r="C65">
        <v>2</v>
      </c>
      <c r="D65" t="s">
        <v>17</v>
      </c>
      <c r="E65">
        <v>9.2799999999999994</v>
      </c>
      <c r="F65">
        <v>8.19</v>
      </c>
      <c r="G65" s="3">
        <v>17</v>
      </c>
      <c r="H65" s="3">
        <v>17.3</v>
      </c>
      <c r="I65" s="2">
        <v>0.58333333333333337</v>
      </c>
      <c r="J65" t="e">
        <f>VLOOKUP(D65,Fish_Container_info!$A$2:$E$20,4)</f>
        <v>#N/A</v>
      </c>
      <c r="K65" t="e">
        <f>VLOOKUP(D65,Fish_Container_info!$A$2:$D$20,2)</f>
        <v>#N/A</v>
      </c>
      <c r="L65" t="e">
        <f>VLOOKUP(D65,Fish_Container_info!$A$2:$D$20,3)</f>
        <v>#N/A</v>
      </c>
      <c r="M65">
        <f>VLOOKUP(C65,Fish_Container_info!$G$2:$H$45,2)</f>
        <v>406</v>
      </c>
      <c r="N65">
        <v>8</v>
      </c>
      <c r="O65" s="2">
        <f>I65-B65</f>
        <v>3.2638888888888884E-2</v>
      </c>
      <c r="P65" s="5">
        <f t="shared" si="36"/>
        <v>3.2638888888888884E-2</v>
      </c>
      <c r="Q65" s="5">
        <f t="shared" si="3"/>
        <v>0.30000000000000071</v>
      </c>
      <c r="R65" s="4">
        <f>E65-F65</f>
        <v>1.0899999999999999</v>
      </c>
      <c r="S65" s="5">
        <f t="shared" si="37"/>
        <v>4.4254E-4</v>
      </c>
      <c r="T65" s="5" t="e">
        <f t="shared" si="38"/>
        <v>#N/A</v>
      </c>
      <c r="U65" s="3">
        <f>AVERAGE(G65:H65)</f>
        <v>17.149999999999999</v>
      </c>
      <c r="V65" s="5">
        <v>6.1630328820116058E-3</v>
      </c>
      <c r="AM65">
        <f t="shared" si="4"/>
        <v>2.8802299999999999E-4</v>
      </c>
      <c r="AN65">
        <f t="shared" ref="AN65:AO65" si="70">AM65*1000</f>
        <v>0.28802299999999997</v>
      </c>
      <c r="AO65">
        <f t="shared" si="70"/>
        <v>288.02299999999997</v>
      </c>
      <c r="AP65">
        <f t="shared" si="6"/>
        <v>4.8003833333333326</v>
      </c>
      <c r="AR65">
        <v>17</v>
      </c>
      <c r="AS65">
        <v>17.100000000000001</v>
      </c>
      <c r="AT65">
        <v>6.9125519999999998E-3</v>
      </c>
      <c r="AU65" t="s">
        <v>64</v>
      </c>
      <c r="AV65" t="s">
        <v>65</v>
      </c>
      <c r="AW65" t="s">
        <v>57</v>
      </c>
      <c r="AX65">
        <v>9</v>
      </c>
      <c r="AY65" t="s">
        <v>58</v>
      </c>
    </row>
    <row r="66" spans="1:51" x14ac:dyDescent="0.3">
      <c r="A66" s="1">
        <v>45048</v>
      </c>
      <c r="B66" s="2">
        <v>0.55347222222222225</v>
      </c>
      <c r="C66">
        <v>3</v>
      </c>
      <c r="D66" t="s">
        <v>18</v>
      </c>
      <c r="E66">
        <v>8.75</v>
      </c>
      <c r="F66">
        <v>7.37</v>
      </c>
      <c r="G66" s="3">
        <v>17</v>
      </c>
      <c r="H66" s="3">
        <v>17.5</v>
      </c>
      <c r="I66" s="2">
        <v>0.58472222222222225</v>
      </c>
      <c r="J66" t="e">
        <f>VLOOKUP(D66,Fish_Container_info!$A$2:$E$20,4)</f>
        <v>#N/A</v>
      </c>
      <c r="K66" t="e">
        <f>VLOOKUP(D66,Fish_Container_info!$A$2:$D$20,2)</f>
        <v>#N/A</v>
      </c>
      <c r="L66" t="e">
        <f>VLOOKUP(D66,Fish_Container_info!$A$2:$D$20,3)</f>
        <v>#N/A</v>
      </c>
      <c r="M66">
        <f>VLOOKUP(C66,Fish_Container_info!$G$2:$H$45,2)</f>
        <v>362</v>
      </c>
      <c r="N66">
        <v>9</v>
      </c>
      <c r="O66" s="2">
        <f>I66-B66</f>
        <v>3.125E-2</v>
      </c>
      <c r="P66" s="5">
        <f t="shared" ref="P66:P97" si="71">VALUE(O66*24*60)/(24*60)</f>
        <v>3.125E-2</v>
      </c>
      <c r="Q66" s="5">
        <f t="shared" si="3"/>
        <v>0.5</v>
      </c>
      <c r="R66" s="4">
        <f>E66-F66</f>
        <v>1.38</v>
      </c>
      <c r="S66" s="5">
        <f t="shared" ref="S66:S97" si="72">R66*(M66/1000)/1000</f>
        <v>4.9955999999999991E-4</v>
      </c>
      <c r="T66" s="5" t="e">
        <f t="shared" ref="T66:T97" si="73">(S66/L66)/P66</f>
        <v>#N/A</v>
      </c>
      <c r="U66" s="3">
        <f>AVERAGE(G66:H66)</f>
        <v>17.25</v>
      </c>
      <c r="V66" s="5">
        <v>6.9503999999999989E-3</v>
      </c>
      <c r="AM66">
        <f t="shared" si="4"/>
        <v>2.5679304166666665E-4</v>
      </c>
      <c r="AN66">
        <f t="shared" ref="AN66:AO66" si="74">AM66*1000</f>
        <v>0.25679304166666667</v>
      </c>
      <c r="AO66">
        <f t="shared" si="74"/>
        <v>256.79304166666668</v>
      </c>
      <c r="AP66">
        <f t="shared" si="6"/>
        <v>4.2798840277777783</v>
      </c>
      <c r="AR66">
        <v>17</v>
      </c>
      <c r="AS66">
        <v>17.149999999999999</v>
      </c>
      <c r="AT66">
        <v>6.1630330000000001E-3</v>
      </c>
      <c r="AU66" t="s">
        <v>66</v>
      </c>
      <c r="AV66" t="s">
        <v>65</v>
      </c>
      <c r="AW66" t="s">
        <v>57</v>
      </c>
      <c r="AX66">
        <v>8</v>
      </c>
      <c r="AY66" t="s">
        <v>58</v>
      </c>
    </row>
    <row r="67" spans="1:51" x14ac:dyDescent="0.3">
      <c r="A67" s="1">
        <v>45048</v>
      </c>
      <c r="B67" s="2">
        <v>0.61527777777777781</v>
      </c>
      <c r="C67">
        <v>1</v>
      </c>
      <c r="D67" t="s">
        <v>15</v>
      </c>
      <c r="E67">
        <v>8.6999999999999993</v>
      </c>
      <c r="F67">
        <v>7.2</v>
      </c>
      <c r="G67" s="3">
        <v>19.2</v>
      </c>
      <c r="H67" s="3">
        <v>19.8</v>
      </c>
      <c r="I67" s="2">
        <v>0.63680555555555551</v>
      </c>
      <c r="J67" t="e">
        <f>VLOOKUP(D67,Fish_Container_info!$A$2:$E$20,4)</f>
        <v>#N/A</v>
      </c>
      <c r="K67" t="e">
        <f>VLOOKUP(D67,Fish_Container_info!$A$2:$D$20,2)</f>
        <v>#N/A</v>
      </c>
      <c r="L67" t="e">
        <f>VLOOKUP(D67,Fish_Container_info!$A$2:$D$20,3)</f>
        <v>#N/A</v>
      </c>
      <c r="M67">
        <f>VLOOKUP(C67,Fish_Container_info!$G$2:$H$45,2)</f>
        <v>582</v>
      </c>
      <c r="N67">
        <v>10</v>
      </c>
      <c r="O67" s="2">
        <f>I67-B67</f>
        <v>2.1527777777777701E-2</v>
      </c>
      <c r="P67" s="5">
        <f t="shared" si="71"/>
        <v>2.1527777777777701E-2</v>
      </c>
      <c r="Q67" s="5">
        <f t="shared" ref="Q67:Q126" si="75">H67-G67</f>
        <v>0.60000000000000142</v>
      </c>
      <c r="R67" s="4">
        <f>E67-F67</f>
        <v>1.4999999999999991</v>
      </c>
      <c r="S67" s="5">
        <f t="shared" si="72"/>
        <v>8.7299999999999943E-4</v>
      </c>
      <c r="T67" s="5" t="e">
        <f t="shared" si="73"/>
        <v>#N/A</v>
      </c>
      <c r="U67" s="3">
        <f>AVERAGE(G67:H67)</f>
        <v>19.5</v>
      </c>
      <c r="V67" s="5">
        <v>1.192713472485772E-2</v>
      </c>
      <c r="AM67">
        <f t="shared" si="4"/>
        <v>2.8959999999999999E-4</v>
      </c>
      <c r="AN67">
        <f t="shared" ref="AN67:AO67" si="76">AM67*1000</f>
        <v>0.28959999999999997</v>
      </c>
      <c r="AO67">
        <f t="shared" si="76"/>
        <v>289.59999999999997</v>
      </c>
      <c r="AP67">
        <f t="shared" si="6"/>
        <v>4.8266666666666662</v>
      </c>
      <c r="AR67">
        <v>17</v>
      </c>
      <c r="AS67">
        <v>17.25</v>
      </c>
      <c r="AT67">
        <v>6.9503999999999998E-3</v>
      </c>
      <c r="AU67" t="s">
        <v>67</v>
      </c>
      <c r="AV67" t="s">
        <v>65</v>
      </c>
      <c r="AW67" t="s">
        <v>57</v>
      </c>
      <c r="AX67">
        <v>9</v>
      </c>
      <c r="AY67" t="s">
        <v>58</v>
      </c>
    </row>
    <row r="68" spans="1:51" x14ac:dyDescent="0.3">
      <c r="A68" s="1">
        <v>45048</v>
      </c>
      <c r="B68" s="2">
        <v>0.6166666666666667</v>
      </c>
      <c r="C68">
        <v>2</v>
      </c>
      <c r="D68" t="s">
        <v>17</v>
      </c>
      <c r="E68">
        <v>8.5</v>
      </c>
      <c r="F68">
        <v>7.42</v>
      </c>
      <c r="G68" s="3">
        <v>19.100000000000001</v>
      </c>
      <c r="H68" s="3">
        <v>19.399999999999999</v>
      </c>
      <c r="I68" s="2">
        <v>0.6381944444444444</v>
      </c>
      <c r="J68" t="e">
        <f>VLOOKUP(D68,Fish_Container_info!$A$2:$E$20,4)</f>
        <v>#N/A</v>
      </c>
      <c r="K68" t="e">
        <f>VLOOKUP(D68,Fish_Container_info!$A$2:$D$20,2)</f>
        <v>#N/A</v>
      </c>
      <c r="L68" t="e">
        <f>VLOOKUP(D68,Fish_Container_info!$A$2:$D$20,3)</f>
        <v>#N/A</v>
      </c>
      <c r="M68">
        <f>VLOOKUP(C68,Fish_Container_info!$G$2:$H$45,2)</f>
        <v>406</v>
      </c>
      <c r="N68">
        <v>9</v>
      </c>
      <c r="O68" s="2">
        <f>I68-B68</f>
        <v>2.1527777777777701E-2</v>
      </c>
      <c r="P68" s="5">
        <f t="shared" si="71"/>
        <v>2.1527777777777701E-2</v>
      </c>
      <c r="Q68" s="5">
        <f t="shared" si="75"/>
        <v>0.29999999999999716</v>
      </c>
      <c r="R68" s="4">
        <f>E68-F68</f>
        <v>1.08</v>
      </c>
      <c r="S68" s="5">
        <f t="shared" si="72"/>
        <v>4.3848000000000004E-4</v>
      </c>
      <c r="T68" s="5" t="e">
        <f t="shared" si="73"/>
        <v>#N/A</v>
      </c>
      <c r="U68" s="3">
        <f>AVERAGE(G68:H68)</f>
        <v>19.25</v>
      </c>
      <c r="V68" s="5">
        <v>9.258228739002965E-3</v>
      </c>
      <c r="AM68">
        <f t="shared" ref="AM68:AM112" si="77">AT68/24</f>
        <v>4.9696395833333338E-4</v>
      </c>
      <c r="AN68">
        <f t="shared" ref="AN68:AO68" si="78">AM68*1000</f>
        <v>0.4969639583333334</v>
      </c>
      <c r="AO68">
        <f t="shared" si="78"/>
        <v>496.96395833333338</v>
      </c>
      <c r="AP68">
        <f t="shared" ref="AP68:AP112" si="79">AO68/60</f>
        <v>8.2827326388888896</v>
      </c>
      <c r="AR68">
        <v>20</v>
      </c>
      <c r="AS68">
        <v>19.5</v>
      </c>
      <c r="AT68">
        <v>1.1927135E-2</v>
      </c>
      <c r="AU68" t="s">
        <v>64</v>
      </c>
      <c r="AV68" t="s">
        <v>65</v>
      </c>
      <c r="AW68" t="s">
        <v>57</v>
      </c>
      <c r="AX68">
        <v>10</v>
      </c>
      <c r="AY68" t="s">
        <v>58</v>
      </c>
    </row>
    <row r="69" spans="1:51" x14ac:dyDescent="0.3">
      <c r="A69" s="1">
        <v>45048</v>
      </c>
      <c r="B69" s="2">
        <v>0.62013888888888891</v>
      </c>
      <c r="C69">
        <v>3</v>
      </c>
      <c r="D69" t="s">
        <v>18</v>
      </c>
      <c r="E69">
        <v>6</v>
      </c>
      <c r="F69">
        <v>5.09</v>
      </c>
      <c r="G69" s="3">
        <v>19.3</v>
      </c>
      <c r="H69" s="3">
        <v>19.8</v>
      </c>
      <c r="I69" s="2">
        <v>0.64097222222222217</v>
      </c>
      <c r="J69" t="e">
        <f>VLOOKUP(D69,Fish_Container_info!$A$2:$E$20,4)</f>
        <v>#N/A</v>
      </c>
      <c r="K69" t="e">
        <f>VLOOKUP(D69,Fish_Container_info!$A$2:$D$20,2)</f>
        <v>#N/A</v>
      </c>
      <c r="L69" t="e">
        <f>VLOOKUP(D69,Fish_Container_info!$A$2:$D$20,3)</f>
        <v>#N/A</v>
      </c>
      <c r="M69">
        <f>VLOOKUP(C69,Fish_Container_info!$G$2:$H$45,2)</f>
        <v>362</v>
      </c>
      <c r="N69">
        <v>10</v>
      </c>
      <c r="O69" s="2">
        <f>I69-B69</f>
        <v>2.0833333333333259E-2</v>
      </c>
      <c r="P69" s="5">
        <f t="shared" si="71"/>
        <v>2.0833333333333259E-2</v>
      </c>
      <c r="Q69" s="5">
        <f t="shared" si="75"/>
        <v>0.5</v>
      </c>
      <c r="R69" s="4">
        <f>E69-F69</f>
        <v>0.91000000000000014</v>
      </c>
      <c r="S69" s="5">
        <f t="shared" si="72"/>
        <v>3.2942000000000003E-4</v>
      </c>
      <c r="T69" s="5" t="e">
        <f t="shared" si="73"/>
        <v>#N/A</v>
      </c>
      <c r="U69" s="3">
        <f>AVERAGE(G69:H69)</f>
        <v>19.55</v>
      </c>
      <c r="V69" s="5">
        <v>6.8748521739130687E-3</v>
      </c>
      <c r="AM69">
        <f t="shared" si="77"/>
        <v>3.8575954166666666E-4</v>
      </c>
      <c r="AN69">
        <f t="shared" ref="AN69:AO69" si="80">AM69*1000</f>
        <v>0.38575954166666665</v>
      </c>
      <c r="AO69">
        <f t="shared" si="80"/>
        <v>385.75954166666668</v>
      </c>
      <c r="AP69">
        <f t="shared" si="79"/>
        <v>6.4293256944444446</v>
      </c>
      <c r="AR69">
        <v>19</v>
      </c>
      <c r="AS69">
        <v>19.25</v>
      </c>
      <c r="AT69">
        <v>9.2582289999999998E-3</v>
      </c>
      <c r="AU69" t="s">
        <v>66</v>
      </c>
      <c r="AV69" t="s">
        <v>65</v>
      </c>
      <c r="AW69" t="s">
        <v>57</v>
      </c>
      <c r="AX69">
        <v>9</v>
      </c>
      <c r="AY69" t="s">
        <v>58</v>
      </c>
    </row>
    <row r="70" spans="1:51" x14ac:dyDescent="0.3">
      <c r="A70" s="1">
        <v>45048</v>
      </c>
      <c r="B70" s="2">
        <v>0.73958333333333337</v>
      </c>
      <c r="C70">
        <v>9</v>
      </c>
      <c r="D70" t="s">
        <v>27</v>
      </c>
      <c r="E70">
        <v>7.76</v>
      </c>
      <c r="F70">
        <v>6.3</v>
      </c>
      <c r="G70" s="3">
        <v>19.3</v>
      </c>
      <c r="H70" s="3">
        <v>19</v>
      </c>
      <c r="I70" s="2">
        <v>0.76874999999999993</v>
      </c>
      <c r="J70">
        <f>VLOOKUP(D70,Fish_Container_info!$A$2:$E$20,4)</f>
        <v>2.7</v>
      </c>
      <c r="K70">
        <f>VLOOKUP(D70,Fish_Container_info!$A$2:$D$20,2)</f>
        <v>9</v>
      </c>
      <c r="L70">
        <f>VLOOKUP(D70,Fish_Container_info!$A$2:$D$20,3)</f>
        <v>67</v>
      </c>
      <c r="M70">
        <f>VLOOKUP(C70,Fish_Container_info!$G$2:$H$45,2)</f>
        <v>372</v>
      </c>
      <c r="N70">
        <v>1</v>
      </c>
      <c r="O70" s="2">
        <f>I70-B70</f>
        <v>2.9166666666666563E-2</v>
      </c>
      <c r="P70" s="5">
        <f t="shared" si="71"/>
        <v>2.9166666666666563E-2</v>
      </c>
      <c r="Q70" s="5">
        <f t="shared" si="75"/>
        <v>-0.30000000000000071</v>
      </c>
      <c r="R70" s="4">
        <f>E70-F70</f>
        <v>1.46</v>
      </c>
      <c r="S70" s="5">
        <f t="shared" si="72"/>
        <v>5.4311999999999991E-4</v>
      </c>
      <c r="T70" s="5">
        <f t="shared" si="73"/>
        <v>2.7792921108742098E-4</v>
      </c>
      <c r="U70" s="3">
        <f>AVERAGE(G70:H70)</f>
        <v>19.149999999999999</v>
      </c>
      <c r="V70" s="5">
        <v>6.8967619047619272E-3</v>
      </c>
      <c r="AM70">
        <f t="shared" si="77"/>
        <v>2.8645216666666666E-4</v>
      </c>
      <c r="AN70">
        <f t="shared" ref="AN70:AO70" si="81">AM70*1000</f>
        <v>0.28645216666666667</v>
      </c>
      <c r="AO70">
        <f t="shared" si="81"/>
        <v>286.4521666666667</v>
      </c>
      <c r="AP70">
        <f t="shared" si="79"/>
        <v>4.774202777777778</v>
      </c>
      <c r="AR70">
        <v>20</v>
      </c>
      <c r="AS70">
        <v>19.55</v>
      </c>
      <c r="AT70">
        <v>6.8748519999999999E-3</v>
      </c>
      <c r="AU70" t="s">
        <v>67</v>
      </c>
      <c r="AV70" t="s">
        <v>65</v>
      </c>
      <c r="AW70" t="s">
        <v>57</v>
      </c>
      <c r="AX70">
        <v>10</v>
      </c>
      <c r="AY70" t="s">
        <v>58</v>
      </c>
    </row>
    <row r="71" spans="1:51" x14ac:dyDescent="0.3">
      <c r="A71" s="1">
        <v>45048</v>
      </c>
      <c r="B71" s="2">
        <v>0.7416666666666667</v>
      </c>
      <c r="C71">
        <v>10</v>
      </c>
      <c r="D71" t="s">
        <v>28</v>
      </c>
      <c r="E71">
        <v>8.48</v>
      </c>
      <c r="F71">
        <v>7.33</v>
      </c>
      <c r="G71" s="3">
        <v>19.100000000000001</v>
      </c>
      <c r="H71" s="3">
        <v>18.8</v>
      </c>
      <c r="I71" s="2">
        <v>0.77083333333333337</v>
      </c>
      <c r="J71">
        <f>VLOOKUP(D71,Fish_Container_info!$A$2:$E$20,4)</f>
        <v>3.4</v>
      </c>
      <c r="K71">
        <f>VLOOKUP(D71,Fish_Container_info!$A$2:$D$20,2)</f>
        <v>1</v>
      </c>
      <c r="L71">
        <f>VLOOKUP(D71,Fish_Container_info!$A$2:$D$20,3)</f>
        <v>76</v>
      </c>
      <c r="M71">
        <f>VLOOKUP(C71,Fish_Container_info!$G$2:$H$45,2)</f>
        <v>374</v>
      </c>
      <c r="N71">
        <v>1</v>
      </c>
      <c r="O71" s="2">
        <f>I71-B71</f>
        <v>2.9166666666666674E-2</v>
      </c>
      <c r="P71" s="5">
        <f t="shared" si="71"/>
        <v>2.9166666666666678E-2</v>
      </c>
      <c r="Q71" s="5">
        <f t="shared" si="75"/>
        <v>-0.30000000000000071</v>
      </c>
      <c r="R71" s="4">
        <f>E71-F71</f>
        <v>1.1500000000000004</v>
      </c>
      <c r="S71" s="5">
        <f t="shared" si="72"/>
        <v>4.3010000000000015E-4</v>
      </c>
      <c r="T71" s="5">
        <f t="shared" si="73"/>
        <v>1.9403007518796993E-4</v>
      </c>
      <c r="U71" s="3">
        <f>AVERAGE(G71:H71)</f>
        <v>18.950000000000003</v>
      </c>
      <c r="V71" s="5">
        <v>9.8308571428571429E-3</v>
      </c>
      <c r="AM71">
        <f t="shared" si="77"/>
        <v>2.8736508333333333E-4</v>
      </c>
      <c r="AN71">
        <f t="shared" ref="AN71:AO71" si="82">AM71*1000</f>
        <v>0.28736508333333333</v>
      </c>
      <c r="AO71">
        <f t="shared" si="82"/>
        <v>287.3650833333333</v>
      </c>
      <c r="AP71">
        <f t="shared" si="79"/>
        <v>4.7894180555555552</v>
      </c>
      <c r="AR71">
        <v>19</v>
      </c>
      <c r="AS71">
        <v>19.149999999999999</v>
      </c>
      <c r="AT71">
        <v>6.8967619999999999E-3</v>
      </c>
      <c r="AU71" t="s">
        <v>68</v>
      </c>
      <c r="AV71" t="s">
        <v>65</v>
      </c>
      <c r="AW71" t="s">
        <v>57</v>
      </c>
      <c r="AX71">
        <v>1</v>
      </c>
      <c r="AY71" t="s">
        <v>58</v>
      </c>
    </row>
    <row r="72" spans="1:51" x14ac:dyDescent="0.3">
      <c r="A72" s="1">
        <v>45048</v>
      </c>
      <c r="B72" s="2">
        <v>0.74513888888888891</v>
      </c>
      <c r="C72">
        <v>11</v>
      </c>
      <c r="D72" t="s">
        <v>29</v>
      </c>
      <c r="E72">
        <v>7.07</v>
      </c>
      <c r="F72">
        <v>4.59</v>
      </c>
      <c r="G72" s="3">
        <v>19.2</v>
      </c>
      <c r="H72" s="3">
        <v>19.2</v>
      </c>
      <c r="I72" s="2">
        <v>0.77430555555555547</v>
      </c>
      <c r="J72">
        <f>VLOOKUP(D72,Fish_Container_info!$A$2:$E$20,4)</f>
        <v>3.4</v>
      </c>
      <c r="K72">
        <f>VLOOKUP(D72,Fish_Container_info!$A$2:$D$20,2)</f>
        <v>1</v>
      </c>
      <c r="L72">
        <f>VLOOKUP(D72,Fish_Container_info!$A$2:$D$20,3)</f>
        <v>76</v>
      </c>
      <c r="M72">
        <f>VLOOKUP(C72,Fish_Container_info!$G$2:$H$45,2)</f>
        <v>384</v>
      </c>
      <c r="N72">
        <v>1</v>
      </c>
      <c r="O72" s="2">
        <f>I72-B72</f>
        <v>2.9166666666666563E-2</v>
      </c>
      <c r="P72" s="5">
        <f t="shared" si="71"/>
        <v>2.9166666666666563E-2</v>
      </c>
      <c r="Q72" s="5">
        <f t="shared" si="75"/>
        <v>0</v>
      </c>
      <c r="R72" s="4">
        <f>E72-F72</f>
        <v>2.4800000000000004</v>
      </c>
      <c r="S72" s="5">
        <f t="shared" si="72"/>
        <v>9.5232000000000021E-4</v>
      </c>
      <c r="T72" s="5">
        <f t="shared" si="73"/>
        <v>4.2961804511278356E-4</v>
      </c>
      <c r="U72" s="3">
        <f>AVERAGE(G72:H72)</f>
        <v>19.2</v>
      </c>
      <c r="V72" s="5">
        <v>6.9470151975684147E-3</v>
      </c>
      <c r="AM72">
        <f t="shared" si="77"/>
        <v>4.0961904166666665E-4</v>
      </c>
      <c r="AN72">
        <f t="shared" ref="AN72:AO72" si="83">AM72*1000</f>
        <v>0.40961904166666663</v>
      </c>
      <c r="AO72">
        <f t="shared" si="83"/>
        <v>409.61904166666665</v>
      </c>
      <c r="AP72">
        <f t="shared" si="79"/>
        <v>6.8269840277777778</v>
      </c>
      <c r="AR72">
        <v>19</v>
      </c>
      <c r="AS72">
        <v>18.95</v>
      </c>
      <c r="AT72">
        <v>9.8308570000000001E-3</v>
      </c>
      <c r="AU72" t="s">
        <v>69</v>
      </c>
      <c r="AV72" t="s">
        <v>65</v>
      </c>
      <c r="AW72" t="s">
        <v>57</v>
      </c>
      <c r="AX72">
        <v>1</v>
      </c>
      <c r="AY72" t="s">
        <v>58</v>
      </c>
    </row>
    <row r="73" spans="1:51" x14ac:dyDescent="0.3">
      <c r="A73" s="1">
        <v>45048</v>
      </c>
      <c r="B73" s="2">
        <v>0.74652777777777779</v>
      </c>
      <c r="C73">
        <v>12</v>
      </c>
      <c r="D73" t="s">
        <v>30</v>
      </c>
      <c r="E73">
        <v>7.34</v>
      </c>
      <c r="F73">
        <v>5.64</v>
      </c>
      <c r="G73" s="3">
        <v>19.399999999999999</v>
      </c>
      <c r="H73" s="3">
        <v>19.3</v>
      </c>
      <c r="I73" s="2">
        <v>0.77569444444444446</v>
      </c>
      <c r="J73">
        <f>VLOOKUP(D73,Fish_Container_info!$A$2:$E$20,4)</f>
        <v>70.099999999999994</v>
      </c>
      <c r="K73">
        <f>VLOOKUP(D73,Fish_Container_info!$A$2:$D$20,2)</f>
        <v>15</v>
      </c>
      <c r="L73">
        <f>VLOOKUP(D73,Fish_Container_info!$A$2:$D$20,3)</f>
        <v>206</v>
      </c>
      <c r="M73">
        <f>VLOOKUP(C73,Fish_Container_info!$G$2:$H$45,2)</f>
        <v>376</v>
      </c>
      <c r="N73">
        <v>1</v>
      </c>
      <c r="O73" s="2">
        <f>I73-B73</f>
        <v>2.9166666666666674E-2</v>
      </c>
      <c r="P73" s="5">
        <f t="shared" si="71"/>
        <v>2.9166666666666678E-2</v>
      </c>
      <c r="Q73" s="5">
        <f t="shared" si="75"/>
        <v>-9.9999999999997868E-2</v>
      </c>
      <c r="R73" s="4">
        <f>E73-F73</f>
        <v>1.7000000000000002</v>
      </c>
      <c r="S73" s="5">
        <f t="shared" si="72"/>
        <v>6.3920000000000014E-4</v>
      </c>
      <c r="T73" s="5">
        <f t="shared" si="73"/>
        <v>1.0638557558945908E-4</v>
      </c>
      <c r="U73" s="3">
        <f>AVERAGE(G73:H73)</f>
        <v>19.350000000000001</v>
      </c>
      <c r="V73" s="5">
        <v>9.9615584415584379E-3</v>
      </c>
      <c r="AM73">
        <f t="shared" si="77"/>
        <v>2.8945895833333335E-4</v>
      </c>
      <c r="AN73">
        <f t="shared" ref="AN73:AO73" si="84">AM73*1000</f>
        <v>0.28945895833333335</v>
      </c>
      <c r="AO73">
        <f t="shared" si="84"/>
        <v>289.45895833333333</v>
      </c>
      <c r="AP73">
        <f t="shared" si="79"/>
        <v>4.8243159722222222</v>
      </c>
      <c r="AR73">
        <v>19</v>
      </c>
      <c r="AS73">
        <v>19.2</v>
      </c>
      <c r="AT73">
        <v>6.947015E-3</v>
      </c>
      <c r="AU73" t="s">
        <v>70</v>
      </c>
      <c r="AV73" t="s">
        <v>65</v>
      </c>
      <c r="AW73" t="s">
        <v>57</v>
      </c>
      <c r="AX73">
        <v>1</v>
      </c>
      <c r="AY73" t="s">
        <v>58</v>
      </c>
    </row>
    <row r="74" spans="1:51" x14ac:dyDescent="0.3">
      <c r="A74" s="1">
        <v>45048</v>
      </c>
      <c r="B74" s="2">
        <v>0.82291666666666663</v>
      </c>
      <c r="C74">
        <v>9</v>
      </c>
      <c r="D74" t="s">
        <v>27</v>
      </c>
      <c r="E74">
        <v>8.84</v>
      </c>
      <c r="F74">
        <v>7.02</v>
      </c>
      <c r="G74" s="3">
        <v>18.600000000000001</v>
      </c>
      <c r="H74" s="3">
        <v>18.5</v>
      </c>
      <c r="I74" s="2">
        <v>0.85763888888888884</v>
      </c>
      <c r="J74">
        <f>VLOOKUP(D74,Fish_Container_info!$A$2:$E$20,4)</f>
        <v>2.7</v>
      </c>
      <c r="K74">
        <f>VLOOKUP(D74,Fish_Container_info!$A$2:$D$20,2)</f>
        <v>9</v>
      </c>
      <c r="L74">
        <f>VLOOKUP(D74,Fish_Container_info!$A$2:$D$20,3)</f>
        <v>67</v>
      </c>
      <c r="M74">
        <f>VLOOKUP(C74,Fish_Container_info!$G$2:$H$45,2)</f>
        <v>372</v>
      </c>
      <c r="N74">
        <v>2</v>
      </c>
      <c r="O74" s="2">
        <f>I74-B74</f>
        <v>3.472222222222221E-2</v>
      </c>
      <c r="P74" s="5">
        <f t="shared" si="71"/>
        <v>3.472222222222221E-2</v>
      </c>
      <c r="Q74" s="5">
        <f t="shared" si="75"/>
        <v>-0.10000000000000142</v>
      </c>
      <c r="R74" s="4">
        <f>E74-F74</f>
        <v>1.8200000000000003</v>
      </c>
      <c r="S74" s="5">
        <f t="shared" si="72"/>
        <v>6.7704000000000006E-4</v>
      </c>
      <c r="T74" s="5">
        <f t="shared" si="73"/>
        <v>2.9102614925373145E-4</v>
      </c>
      <c r="U74" s="3">
        <f>AVERAGE(G74:H74)</f>
        <v>18.55</v>
      </c>
      <c r="V74" s="5">
        <v>7.2217600000000033E-3</v>
      </c>
      <c r="AM74">
        <f t="shared" si="77"/>
        <v>4.1506491666666671E-4</v>
      </c>
      <c r="AN74">
        <f t="shared" ref="AN74:AO74" si="85">AM74*1000</f>
        <v>0.41506491666666673</v>
      </c>
      <c r="AO74">
        <f t="shared" si="85"/>
        <v>415.0649166666667</v>
      </c>
      <c r="AP74">
        <f t="shared" si="79"/>
        <v>6.9177486111111115</v>
      </c>
      <c r="AR74">
        <v>19</v>
      </c>
      <c r="AS74">
        <v>19.350000000000001</v>
      </c>
      <c r="AT74">
        <v>9.9615580000000006E-3</v>
      </c>
      <c r="AU74" t="s">
        <v>71</v>
      </c>
      <c r="AV74" t="s">
        <v>65</v>
      </c>
      <c r="AW74" t="s">
        <v>57</v>
      </c>
      <c r="AX74">
        <v>1</v>
      </c>
      <c r="AY74" t="s">
        <v>58</v>
      </c>
    </row>
    <row r="75" spans="1:51" x14ac:dyDescent="0.3">
      <c r="A75" s="1">
        <v>45048</v>
      </c>
      <c r="B75" s="2">
        <v>0.82500000000000007</v>
      </c>
      <c r="C75">
        <v>10</v>
      </c>
      <c r="D75" t="s">
        <v>28</v>
      </c>
      <c r="E75">
        <v>8.57</v>
      </c>
      <c r="F75">
        <v>7.46</v>
      </c>
      <c r="G75" s="3">
        <v>18.7</v>
      </c>
      <c r="H75" s="3">
        <v>18.600000000000001</v>
      </c>
      <c r="I75" s="2">
        <v>0.85902777777777783</v>
      </c>
      <c r="J75">
        <f>VLOOKUP(D75,Fish_Container_info!$A$2:$E$20,4)</f>
        <v>3.4</v>
      </c>
      <c r="K75">
        <f>VLOOKUP(D75,Fish_Container_info!$A$2:$D$20,2)</f>
        <v>1</v>
      </c>
      <c r="L75">
        <f>VLOOKUP(D75,Fish_Container_info!$A$2:$D$20,3)</f>
        <v>76</v>
      </c>
      <c r="M75">
        <f>VLOOKUP(C75,Fish_Container_info!$G$2:$H$45,2)</f>
        <v>374</v>
      </c>
      <c r="N75">
        <v>2</v>
      </c>
      <c r="O75" s="2">
        <f>I75-B75</f>
        <v>3.4027777777777768E-2</v>
      </c>
      <c r="P75" s="5">
        <f t="shared" si="71"/>
        <v>3.4027777777777768E-2</v>
      </c>
      <c r="Q75" s="5">
        <f t="shared" si="75"/>
        <v>-9.9999999999997868E-2</v>
      </c>
      <c r="R75" s="4">
        <f>E75-F75</f>
        <v>1.1100000000000003</v>
      </c>
      <c r="S75" s="5">
        <f t="shared" si="72"/>
        <v>4.1514000000000009E-4</v>
      </c>
      <c r="T75" s="5">
        <f t="shared" si="73"/>
        <v>1.6052674543501621E-4</v>
      </c>
      <c r="U75" s="3">
        <f>AVERAGE(G75:H75)</f>
        <v>18.649999999999999</v>
      </c>
      <c r="V75" s="5">
        <v>8.1333551020408203E-3</v>
      </c>
      <c r="AM75">
        <f t="shared" si="77"/>
        <v>3.0090666666666668E-4</v>
      </c>
      <c r="AN75">
        <f t="shared" ref="AN75:AO75" si="86">AM75*1000</f>
        <v>0.30090666666666666</v>
      </c>
      <c r="AO75">
        <f t="shared" si="86"/>
        <v>300.90666666666664</v>
      </c>
      <c r="AP75">
        <f t="shared" si="79"/>
        <v>5.0151111111111106</v>
      </c>
      <c r="AR75">
        <v>19</v>
      </c>
      <c r="AS75">
        <v>18.55</v>
      </c>
      <c r="AT75">
        <v>7.2217599999999998E-3</v>
      </c>
      <c r="AU75" t="s">
        <v>68</v>
      </c>
      <c r="AV75" t="s">
        <v>65</v>
      </c>
      <c r="AW75" t="s">
        <v>57</v>
      </c>
      <c r="AX75">
        <v>2</v>
      </c>
      <c r="AY75" t="s">
        <v>58</v>
      </c>
    </row>
    <row r="76" spans="1:51" x14ac:dyDescent="0.3">
      <c r="A76" s="1">
        <v>45048</v>
      </c>
      <c r="B76" s="2">
        <v>0.82638888888888884</v>
      </c>
      <c r="C76">
        <v>11</v>
      </c>
      <c r="D76" t="s">
        <v>29</v>
      </c>
      <c r="E76">
        <v>7.98</v>
      </c>
      <c r="F76">
        <v>5.05</v>
      </c>
      <c r="G76" s="3">
        <v>18.899999999999999</v>
      </c>
      <c r="H76" s="3">
        <v>18.7</v>
      </c>
      <c r="I76" s="2">
        <v>0.86111111111111116</v>
      </c>
      <c r="J76">
        <f>VLOOKUP(D76,Fish_Container_info!$A$2:$E$20,4)</f>
        <v>3.4</v>
      </c>
      <c r="K76">
        <f>VLOOKUP(D76,Fish_Container_info!$A$2:$D$20,2)</f>
        <v>1</v>
      </c>
      <c r="L76">
        <f>VLOOKUP(D76,Fish_Container_info!$A$2:$D$20,3)</f>
        <v>76</v>
      </c>
      <c r="M76">
        <f>VLOOKUP(C76,Fish_Container_info!$G$2:$H$45,2)</f>
        <v>384</v>
      </c>
      <c r="N76">
        <v>2</v>
      </c>
      <c r="O76" s="2">
        <f>I76-B76</f>
        <v>3.4722222222222321E-2</v>
      </c>
      <c r="P76" s="5">
        <f t="shared" si="71"/>
        <v>3.4722222222222321E-2</v>
      </c>
      <c r="Q76" s="5">
        <f t="shared" si="75"/>
        <v>-0.19999999999999929</v>
      </c>
      <c r="R76" s="4">
        <f>E76-F76</f>
        <v>2.9300000000000006</v>
      </c>
      <c r="S76" s="5">
        <f t="shared" si="72"/>
        <v>1.1251200000000003E-3</v>
      </c>
      <c r="T76" s="5">
        <f t="shared" si="73"/>
        <v>4.2636126315789364E-4</v>
      </c>
      <c r="U76" s="3">
        <f>AVERAGE(G76:H76)</f>
        <v>18.799999999999997</v>
      </c>
      <c r="V76" s="5">
        <v>6.8943523404255136E-3</v>
      </c>
      <c r="AM76">
        <f t="shared" si="77"/>
        <v>3.3888979166666667E-4</v>
      </c>
      <c r="AN76">
        <f t="shared" ref="AN76:AO76" si="87">AM76*1000</f>
        <v>0.33888979166666666</v>
      </c>
      <c r="AO76">
        <f t="shared" si="87"/>
        <v>338.88979166666667</v>
      </c>
      <c r="AP76">
        <f t="shared" si="79"/>
        <v>5.6481631944444448</v>
      </c>
      <c r="AR76">
        <v>19</v>
      </c>
      <c r="AS76">
        <v>18.649999999999999</v>
      </c>
      <c r="AT76">
        <v>8.1333550000000001E-3</v>
      </c>
      <c r="AU76" t="s">
        <v>69</v>
      </c>
      <c r="AV76" t="s">
        <v>65</v>
      </c>
      <c r="AW76" t="s">
        <v>57</v>
      </c>
      <c r="AX76">
        <v>2</v>
      </c>
      <c r="AY76" t="s">
        <v>58</v>
      </c>
    </row>
    <row r="77" spans="1:51" x14ac:dyDescent="0.3">
      <c r="A77" s="1">
        <v>45048</v>
      </c>
      <c r="B77" s="2">
        <v>0.82777777777777783</v>
      </c>
      <c r="C77">
        <v>12</v>
      </c>
      <c r="D77" t="s">
        <v>30</v>
      </c>
      <c r="E77">
        <v>8.4</v>
      </c>
      <c r="F77">
        <v>6.71</v>
      </c>
      <c r="G77" s="3">
        <v>18.899999999999999</v>
      </c>
      <c r="H77" s="3">
        <v>18.7</v>
      </c>
      <c r="I77" s="2">
        <v>0.86249999999999993</v>
      </c>
      <c r="J77">
        <f>VLOOKUP(D77,Fish_Container_info!$A$2:$E$20,4)</f>
        <v>70.099999999999994</v>
      </c>
      <c r="K77">
        <f>VLOOKUP(D77,Fish_Container_info!$A$2:$D$20,2)</f>
        <v>15</v>
      </c>
      <c r="L77">
        <f>VLOOKUP(D77,Fish_Container_info!$A$2:$D$20,3)</f>
        <v>206</v>
      </c>
      <c r="M77">
        <f>VLOOKUP(C77,Fish_Container_info!$G$2:$H$45,2)</f>
        <v>376</v>
      </c>
      <c r="N77">
        <v>2</v>
      </c>
      <c r="O77" s="2">
        <f>I77-B77</f>
        <v>3.4722222222222099E-2</v>
      </c>
      <c r="P77" s="5">
        <f t="shared" si="71"/>
        <v>3.4722222222222099E-2</v>
      </c>
      <c r="Q77" s="5">
        <f t="shared" si="75"/>
        <v>-0.19999999999999929</v>
      </c>
      <c r="R77" s="4">
        <f>E77-F77</f>
        <v>1.6900000000000004</v>
      </c>
      <c r="S77" s="5">
        <f t="shared" si="72"/>
        <v>6.3544000000000014E-4</v>
      </c>
      <c r="T77" s="5">
        <f t="shared" si="73"/>
        <v>8.8838213592233343E-5</v>
      </c>
      <c r="U77" s="3">
        <f>AVERAGE(G77:H77)</f>
        <v>18.799999999999997</v>
      </c>
      <c r="V77" s="5">
        <v>8.3184872727273037E-3</v>
      </c>
      <c r="AM77">
        <f t="shared" si="77"/>
        <v>2.8726466666666666E-4</v>
      </c>
      <c r="AN77">
        <f t="shared" ref="AN77:AO77" si="88">AM77*1000</f>
        <v>0.28726466666666667</v>
      </c>
      <c r="AO77">
        <f t="shared" si="88"/>
        <v>287.26466666666664</v>
      </c>
      <c r="AP77">
        <f t="shared" si="79"/>
        <v>4.7877444444444439</v>
      </c>
      <c r="AR77">
        <v>19</v>
      </c>
      <c r="AS77">
        <v>18.8</v>
      </c>
      <c r="AT77">
        <v>6.8943520000000003E-3</v>
      </c>
      <c r="AU77" t="s">
        <v>70</v>
      </c>
      <c r="AV77" t="s">
        <v>65</v>
      </c>
      <c r="AW77" t="s">
        <v>57</v>
      </c>
      <c r="AX77">
        <v>2</v>
      </c>
      <c r="AY77" t="s">
        <v>58</v>
      </c>
    </row>
    <row r="78" spans="1:51" x14ac:dyDescent="0.3">
      <c r="A78" s="1">
        <v>45049</v>
      </c>
      <c r="B78" s="2">
        <v>0.18333333333333335</v>
      </c>
      <c r="C78">
        <v>9</v>
      </c>
      <c r="D78" t="s">
        <v>27</v>
      </c>
      <c r="E78">
        <v>8.4600000000000009</v>
      </c>
      <c r="F78">
        <v>6.56</v>
      </c>
      <c r="G78" s="3">
        <v>14.8</v>
      </c>
      <c r="H78" s="3">
        <v>14.7</v>
      </c>
      <c r="I78" s="2">
        <v>0.22222222222222221</v>
      </c>
      <c r="J78">
        <f>VLOOKUP(D78,Fish_Container_info!$A$2:$E$20,4)</f>
        <v>2.7</v>
      </c>
      <c r="K78">
        <f>VLOOKUP(D78,Fish_Container_info!$A$2:$D$20,2)</f>
        <v>9</v>
      </c>
      <c r="L78">
        <f>VLOOKUP(D78,Fish_Container_info!$A$2:$D$20,3)</f>
        <v>67</v>
      </c>
      <c r="M78">
        <f>VLOOKUP(C78,Fish_Container_info!$G$2:$H$45,2)</f>
        <v>372</v>
      </c>
      <c r="N78">
        <v>3</v>
      </c>
      <c r="O78" s="2">
        <f>I78-B78</f>
        <v>3.8888888888888862E-2</v>
      </c>
      <c r="P78" s="5">
        <f t="shared" si="71"/>
        <v>3.8888888888888862E-2</v>
      </c>
      <c r="Q78" s="5">
        <f t="shared" si="75"/>
        <v>-0.10000000000000142</v>
      </c>
      <c r="R78" s="4">
        <f>E78-F78</f>
        <v>1.9000000000000012</v>
      </c>
      <c r="S78" s="5">
        <f t="shared" si="72"/>
        <v>7.0680000000000038E-4</v>
      </c>
      <c r="T78" s="5">
        <f t="shared" si="73"/>
        <v>2.7126652452025621E-4</v>
      </c>
      <c r="U78" s="3">
        <f>AVERAGE(G78:H78)</f>
        <v>14.75</v>
      </c>
      <c r="V78" s="5">
        <v>6.7314285714285783E-3</v>
      </c>
      <c r="AM78">
        <f t="shared" si="77"/>
        <v>3.4660362499999996E-4</v>
      </c>
      <c r="AN78">
        <f t="shared" ref="AN78:AO78" si="89">AM78*1000</f>
        <v>0.34660362499999997</v>
      </c>
      <c r="AO78">
        <f t="shared" si="89"/>
        <v>346.60362499999997</v>
      </c>
      <c r="AP78">
        <f t="shared" si="79"/>
        <v>5.7767270833333324</v>
      </c>
      <c r="AR78">
        <v>19</v>
      </c>
      <c r="AS78">
        <v>18.8</v>
      </c>
      <c r="AT78">
        <v>8.3184869999999994E-3</v>
      </c>
      <c r="AU78" t="s">
        <v>71</v>
      </c>
      <c r="AV78" t="s">
        <v>65</v>
      </c>
      <c r="AW78" t="s">
        <v>57</v>
      </c>
      <c r="AX78">
        <v>2</v>
      </c>
      <c r="AY78" t="s">
        <v>58</v>
      </c>
    </row>
    <row r="79" spans="1:51" x14ac:dyDescent="0.3">
      <c r="A79" s="1">
        <v>45049</v>
      </c>
      <c r="B79" s="2">
        <v>0.18541666666666667</v>
      </c>
      <c r="C79">
        <v>10</v>
      </c>
      <c r="D79" t="s">
        <v>28</v>
      </c>
      <c r="E79">
        <v>8.83</v>
      </c>
      <c r="F79">
        <v>7.58</v>
      </c>
      <c r="G79" s="3">
        <v>14.8</v>
      </c>
      <c r="H79" s="3">
        <v>14.7</v>
      </c>
      <c r="I79" s="2">
        <v>0.22361111111111109</v>
      </c>
      <c r="J79">
        <f>VLOOKUP(D79,Fish_Container_info!$A$2:$E$20,4)</f>
        <v>3.4</v>
      </c>
      <c r="K79">
        <f>VLOOKUP(D79,Fish_Container_info!$A$2:$D$20,2)</f>
        <v>1</v>
      </c>
      <c r="L79">
        <f>VLOOKUP(D79,Fish_Container_info!$A$2:$D$20,3)</f>
        <v>76</v>
      </c>
      <c r="M79">
        <f>VLOOKUP(C79,Fish_Container_info!$G$2:$H$45,2)</f>
        <v>374</v>
      </c>
      <c r="N79">
        <v>3</v>
      </c>
      <c r="O79" s="2">
        <f>I79-B79</f>
        <v>3.819444444444442E-2</v>
      </c>
      <c r="P79" s="5">
        <f t="shared" si="71"/>
        <v>3.819444444444442E-2</v>
      </c>
      <c r="Q79" s="5">
        <f t="shared" si="75"/>
        <v>-0.10000000000000142</v>
      </c>
      <c r="R79" s="4">
        <f>E79-F79</f>
        <v>1.25</v>
      </c>
      <c r="S79" s="5">
        <f t="shared" si="72"/>
        <v>4.6750000000000003E-4</v>
      </c>
      <c r="T79" s="5">
        <f t="shared" si="73"/>
        <v>1.610526315789475E-4</v>
      </c>
      <c r="U79" s="3">
        <f>AVERAGE(G79:H79)</f>
        <v>14.75</v>
      </c>
      <c r="V79" s="5">
        <v>8.1600000000000058E-3</v>
      </c>
      <c r="AM79">
        <f t="shared" si="77"/>
        <v>2.8047620833333332E-4</v>
      </c>
      <c r="AN79">
        <f t="shared" ref="AN79:AO79" si="90">AM79*1000</f>
        <v>0.28047620833333331</v>
      </c>
      <c r="AO79">
        <f t="shared" si="90"/>
        <v>280.47620833333332</v>
      </c>
      <c r="AP79">
        <f t="shared" si="79"/>
        <v>4.6746034722222216</v>
      </c>
      <c r="AR79">
        <v>15</v>
      </c>
      <c r="AS79">
        <v>14.75</v>
      </c>
      <c r="AT79">
        <v>6.7314289999999997E-3</v>
      </c>
      <c r="AU79" t="s">
        <v>68</v>
      </c>
      <c r="AV79" t="s">
        <v>65</v>
      </c>
      <c r="AW79" t="s">
        <v>57</v>
      </c>
      <c r="AX79">
        <v>3</v>
      </c>
      <c r="AY79" t="s">
        <v>58</v>
      </c>
    </row>
    <row r="80" spans="1:51" x14ac:dyDescent="0.3">
      <c r="A80" s="1">
        <v>45049</v>
      </c>
      <c r="B80" s="2">
        <v>0.18819444444444444</v>
      </c>
      <c r="C80">
        <v>11</v>
      </c>
      <c r="D80" t="s">
        <v>29</v>
      </c>
      <c r="E80">
        <v>7.6</v>
      </c>
      <c r="F80">
        <v>3.79</v>
      </c>
      <c r="G80" s="3">
        <v>14.9</v>
      </c>
      <c r="H80" s="3">
        <v>14.7</v>
      </c>
      <c r="I80" s="2">
        <v>0.22847222222222222</v>
      </c>
      <c r="J80">
        <f>VLOOKUP(D80,Fish_Container_info!$A$2:$E$20,4)</f>
        <v>3.4</v>
      </c>
      <c r="K80">
        <f>VLOOKUP(D80,Fish_Container_info!$A$2:$D$20,2)</f>
        <v>1</v>
      </c>
      <c r="L80">
        <f>VLOOKUP(D80,Fish_Container_info!$A$2:$D$20,3)</f>
        <v>76</v>
      </c>
      <c r="M80">
        <f>VLOOKUP(C80,Fish_Container_info!$G$2:$H$45,2)</f>
        <v>384</v>
      </c>
      <c r="N80">
        <v>3</v>
      </c>
      <c r="O80" s="2">
        <f>I80-B80</f>
        <v>4.0277777777777773E-2</v>
      </c>
      <c r="P80" s="5">
        <f t="shared" si="71"/>
        <v>4.0277777777777773E-2</v>
      </c>
      <c r="Q80" s="5">
        <f t="shared" si="75"/>
        <v>-0.20000000000000107</v>
      </c>
      <c r="R80" s="4">
        <f>E80-F80</f>
        <v>3.8099999999999996</v>
      </c>
      <c r="S80" s="5">
        <f t="shared" si="72"/>
        <v>1.4630399999999999E-3</v>
      </c>
      <c r="T80" s="5">
        <f t="shared" si="73"/>
        <v>4.7794410163339382E-4</v>
      </c>
      <c r="U80" s="3">
        <f>AVERAGE(G80:H80)</f>
        <v>14.8</v>
      </c>
      <c r="V80" s="5">
        <v>7.7284578136463675E-3</v>
      </c>
      <c r="AM80">
        <f t="shared" si="77"/>
        <v>3.4000000000000002E-4</v>
      </c>
      <c r="AN80">
        <f t="shared" ref="AN80:AO80" si="91">AM80*1000</f>
        <v>0.34</v>
      </c>
      <c r="AO80">
        <f t="shared" si="91"/>
        <v>340</v>
      </c>
      <c r="AP80">
        <f t="shared" si="79"/>
        <v>5.666666666666667</v>
      </c>
      <c r="AR80">
        <v>15</v>
      </c>
      <c r="AS80">
        <v>14.75</v>
      </c>
      <c r="AT80">
        <v>8.1600000000000006E-3</v>
      </c>
      <c r="AU80" t="s">
        <v>69</v>
      </c>
      <c r="AV80" t="s">
        <v>65</v>
      </c>
      <c r="AW80" t="s">
        <v>57</v>
      </c>
      <c r="AX80">
        <v>3</v>
      </c>
      <c r="AY80" t="s">
        <v>58</v>
      </c>
    </row>
    <row r="81" spans="1:51" x14ac:dyDescent="0.3">
      <c r="A81" s="1">
        <v>45049</v>
      </c>
      <c r="B81" s="2">
        <v>0.19027777777777777</v>
      </c>
      <c r="C81">
        <v>12</v>
      </c>
      <c r="D81" t="s">
        <v>30</v>
      </c>
      <c r="E81">
        <v>8.43</v>
      </c>
      <c r="F81">
        <v>5.85</v>
      </c>
      <c r="G81" s="3">
        <v>14.9</v>
      </c>
      <c r="H81" s="3">
        <v>14.6</v>
      </c>
      <c r="I81" s="2">
        <v>0.23055555555555554</v>
      </c>
      <c r="J81">
        <f>VLOOKUP(D81,Fish_Container_info!$A$2:$E$20,4)</f>
        <v>70.099999999999994</v>
      </c>
      <c r="K81">
        <f>VLOOKUP(D81,Fish_Container_info!$A$2:$D$20,2)</f>
        <v>15</v>
      </c>
      <c r="L81">
        <f>VLOOKUP(D81,Fish_Container_info!$A$2:$D$20,3)</f>
        <v>206</v>
      </c>
      <c r="M81">
        <f>VLOOKUP(C81,Fish_Container_info!$G$2:$H$45,2)</f>
        <v>376</v>
      </c>
      <c r="N81">
        <v>3</v>
      </c>
      <c r="O81" s="2">
        <f>I81-B81</f>
        <v>4.0277777777777773E-2</v>
      </c>
      <c r="P81" s="5">
        <f t="shared" si="71"/>
        <v>4.0277777777777773E-2</v>
      </c>
      <c r="Q81" s="5">
        <f t="shared" si="75"/>
        <v>-0.30000000000000071</v>
      </c>
      <c r="R81" s="4">
        <f>E81-F81</f>
        <v>2.58</v>
      </c>
      <c r="S81" s="5">
        <f t="shared" si="72"/>
        <v>9.7008000000000001E-4</v>
      </c>
      <c r="T81" s="5">
        <f t="shared" si="73"/>
        <v>1.1691623702711753E-4</v>
      </c>
      <c r="U81" s="3">
        <f>AVERAGE(G81:H81)</f>
        <v>14.75</v>
      </c>
      <c r="V81" s="5">
        <v>1.0947611285266459E-2</v>
      </c>
      <c r="AM81">
        <f t="shared" si="77"/>
        <v>3.2201908333333334E-4</v>
      </c>
      <c r="AN81">
        <f t="shared" ref="AN81:AO81" si="92">AM81*1000</f>
        <v>0.32201908333333334</v>
      </c>
      <c r="AO81">
        <f t="shared" si="92"/>
        <v>322.01908333333336</v>
      </c>
      <c r="AP81">
        <f t="shared" si="79"/>
        <v>5.3669847222222229</v>
      </c>
      <c r="AR81">
        <v>15</v>
      </c>
      <c r="AS81">
        <v>14.8</v>
      </c>
      <c r="AT81">
        <v>7.7284579999999997E-3</v>
      </c>
      <c r="AU81" t="s">
        <v>70</v>
      </c>
      <c r="AV81" t="s">
        <v>65</v>
      </c>
      <c r="AW81" t="s">
        <v>57</v>
      </c>
      <c r="AX81">
        <v>3</v>
      </c>
      <c r="AY81" t="s">
        <v>58</v>
      </c>
    </row>
    <row r="82" spans="1:51" x14ac:dyDescent="0.3">
      <c r="A82" s="1">
        <v>45049</v>
      </c>
      <c r="B82" s="2">
        <v>0.31180555555555556</v>
      </c>
      <c r="C82">
        <v>10</v>
      </c>
      <c r="D82" t="s">
        <v>28</v>
      </c>
      <c r="E82">
        <v>9.8000000000000007</v>
      </c>
      <c r="F82">
        <v>8.64</v>
      </c>
      <c r="G82" s="3">
        <v>14.5</v>
      </c>
      <c r="H82" s="3">
        <v>14.7</v>
      </c>
      <c r="I82" s="2">
        <v>0.35694444444444445</v>
      </c>
      <c r="J82">
        <f>VLOOKUP(D82,Fish_Container_info!$A$2:$E$20,4)</f>
        <v>3.4</v>
      </c>
      <c r="K82">
        <f>VLOOKUP(D82,Fish_Container_info!$A$2:$D$20,2)</f>
        <v>1</v>
      </c>
      <c r="L82">
        <f>VLOOKUP(D82,Fish_Container_info!$A$2:$D$20,3)</f>
        <v>76</v>
      </c>
      <c r="M82">
        <f>VLOOKUP(C82,Fish_Container_info!$G$2:$H$45,2)</f>
        <v>374</v>
      </c>
      <c r="N82">
        <v>4</v>
      </c>
      <c r="O82" s="2">
        <f>I82-B82</f>
        <v>4.5138888888888895E-2</v>
      </c>
      <c r="P82" s="5">
        <f t="shared" si="71"/>
        <v>4.5138888888888902E-2</v>
      </c>
      <c r="Q82" s="5">
        <f t="shared" si="75"/>
        <v>0.19999999999999929</v>
      </c>
      <c r="R82" s="4">
        <f>E82-F82</f>
        <v>1.1600000000000001</v>
      </c>
      <c r="S82" s="5">
        <f t="shared" si="72"/>
        <v>4.3384000000000006E-4</v>
      </c>
      <c r="T82" s="5">
        <f t="shared" si="73"/>
        <v>1.2646348178137651E-4</v>
      </c>
      <c r="U82" s="3">
        <f>AVERAGE(G82:H82)</f>
        <v>14.6</v>
      </c>
      <c r="V82" s="5">
        <v>6.4074830769230758E-3</v>
      </c>
      <c r="AM82">
        <f t="shared" si="77"/>
        <v>4.5615045833333331E-4</v>
      </c>
      <c r="AN82">
        <f t="shared" ref="AN82:AO82" si="93">AM82*1000</f>
        <v>0.45615045833333329</v>
      </c>
      <c r="AO82">
        <f t="shared" si="93"/>
        <v>456.15045833333329</v>
      </c>
      <c r="AP82">
        <f t="shared" si="79"/>
        <v>7.6025076388888886</v>
      </c>
      <c r="AR82">
        <v>15</v>
      </c>
      <c r="AS82">
        <v>14.75</v>
      </c>
      <c r="AT82">
        <v>1.0947610999999999E-2</v>
      </c>
      <c r="AU82" t="s">
        <v>71</v>
      </c>
      <c r="AV82" t="s">
        <v>65</v>
      </c>
      <c r="AW82" t="s">
        <v>57</v>
      </c>
      <c r="AX82">
        <v>3</v>
      </c>
      <c r="AY82" t="s">
        <v>58</v>
      </c>
    </row>
    <row r="83" spans="1:51" x14ac:dyDescent="0.3">
      <c r="A83" s="1">
        <v>45049</v>
      </c>
      <c r="B83" s="2">
        <v>0.31388888888888888</v>
      </c>
      <c r="C83">
        <v>11</v>
      </c>
      <c r="D83" t="s">
        <v>29</v>
      </c>
      <c r="E83">
        <v>9.6199999999999992</v>
      </c>
      <c r="F83">
        <v>6.08</v>
      </c>
      <c r="G83" s="3">
        <v>14.4</v>
      </c>
      <c r="H83" s="3">
        <v>14.7</v>
      </c>
      <c r="I83" s="2">
        <v>0.36388888888888887</v>
      </c>
      <c r="J83">
        <f>VLOOKUP(D83,Fish_Container_info!$A$2:$E$20,4)</f>
        <v>3.4</v>
      </c>
      <c r="K83">
        <f>VLOOKUP(D83,Fish_Container_info!$A$2:$D$20,2)</f>
        <v>1</v>
      </c>
      <c r="L83">
        <f>VLOOKUP(D83,Fish_Container_info!$A$2:$D$20,3)</f>
        <v>76</v>
      </c>
      <c r="M83">
        <f>VLOOKUP(C83,Fish_Container_info!$G$2:$H$45,2)</f>
        <v>384</v>
      </c>
      <c r="N83">
        <v>4</v>
      </c>
      <c r="O83" s="2">
        <f>I83-B83</f>
        <v>4.9999999999999989E-2</v>
      </c>
      <c r="P83" s="5">
        <f t="shared" si="71"/>
        <v>4.9999999999999989E-2</v>
      </c>
      <c r="Q83" s="5">
        <f t="shared" si="75"/>
        <v>0.29999999999999893</v>
      </c>
      <c r="R83" s="4">
        <f>E83-F83</f>
        <v>3.5399999999999991</v>
      </c>
      <c r="S83" s="5">
        <f t="shared" si="72"/>
        <v>1.3593599999999998E-3</v>
      </c>
      <c r="T83" s="5">
        <f t="shared" si="73"/>
        <v>3.5772631578947367E-4</v>
      </c>
      <c r="U83" s="3">
        <f>AVERAGE(G83:H83)</f>
        <v>14.55</v>
      </c>
      <c r="V83" s="5">
        <v>5.7845106382978725E-3</v>
      </c>
      <c r="AM83">
        <f t="shared" si="77"/>
        <v>2.6697845833333333E-4</v>
      </c>
      <c r="AN83">
        <f t="shared" ref="AN83:AO83" si="94">AM83*1000</f>
        <v>0.26697845833333333</v>
      </c>
      <c r="AO83">
        <f t="shared" si="94"/>
        <v>266.97845833333332</v>
      </c>
      <c r="AP83">
        <f t="shared" si="79"/>
        <v>4.4496409722222223</v>
      </c>
      <c r="AR83">
        <v>15</v>
      </c>
      <c r="AS83">
        <v>14.6</v>
      </c>
      <c r="AT83">
        <v>6.4074830000000003E-3</v>
      </c>
      <c r="AU83" t="s">
        <v>69</v>
      </c>
      <c r="AV83" t="s">
        <v>65</v>
      </c>
      <c r="AW83" t="s">
        <v>57</v>
      </c>
      <c r="AX83">
        <v>4</v>
      </c>
      <c r="AY83" t="s">
        <v>58</v>
      </c>
    </row>
    <row r="84" spans="1:51" x14ac:dyDescent="0.3">
      <c r="A84" s="1">
        <v>45049</v>
      </c>
      <c r="B84" s="2">
        <v>0.31527777777777777</v>
      </c>
      <c r="C84">
        <v>12</v>
      </c>
      <c r="D84" t="s">
        <v>30</v>
      </c>
      <c r="E84">
        <v>9.7100000000000009</v>
      </c>
      <c r="F84">
        <v>6.97</v>
      </c>
      <c r="G84" s="3">
        <v>14.5</v>
      </c>
      <c r="H84" s="3">
        <v>14.8</v>
      </c>
      <c r="I84" s="2">
        <v>0.36527777777777781</v>
      </c>
      <c r="J84">
        <f>VLOOKUP(D84,Fish_Container_info!$A$2:$E$20,4)</f>
        <v>70.099999999999994</v>
      </c>
      <c r="K84">
        <f>VLOOKUP(D84,Fish_Container_info!$A$2:$D$20,2)</f>
        <v>15</v>
      </c>
      <c r="L84">
        <f>VLOOKUP(D84,Fish_Container_info!$A$2:$D$20,3)</f>
        <v>206</v>
      </c>
      <c r="M84">
        <f>VLOOKUP(C84,Fish_Container_info!$G$2:$H$45,2)</f>
        <v>376</v>
      </c>
      <c r="N84">
        <v>4</v>
      </c>
      <c r="O84" s="2">
        <f>I84-B84</f>
        <v>5.0000000000000044E-2</v>
      </c>
      <c r="P84" s="5">
        <f t="shared" si="71"/>
        <v>5.0000000000000037E-2</v>
      </c>
      <c r="Q84" s="5">
        <f t="shared" si="75"/>
        <v>0.30000000000000071</v>
      </c>
      <c r="R84" s="4">
        <f>E84-F84</f>
        <v>2.7400000000000011</v>
      </c>
      <c r="S84" s="5">
        <f t="shared" si="72"/>
        <v>1.0302400000000004E-3</v>
      </c>
      <c r="T84" s="5">
        <f t="shared" si="73"/>
        <v>1.0002330097087374E-4</v>
      </c>
      <c r="U84" s="3">
        <f>AVERAGE(G84:H84)</f>
        <v>14.65</v>
      </c>
      <c r="V84" s="5">
        <v>9.3658181818181765E-3</v>
      </c>
      <c r="AM84">
        <f t="shared" si="77"/>
        <v>2.4102129166666666E-4</v>
      </c>
      <c r="AN84">
        <f t="shared" ref="AN84:AO84" si="95">AM84*1000</f>
        <v>0.24102129166666666</v>
      </c>
      <c r="AO84">
        <f t="shared" si="95"/>
        <v>241.02129166666666</v>
      </c>
      <c r="AP84">
        <f t="shared" si="79"/>
        <v>4.0170215277777777</v>
      </c>
      <c r="AR84">
        <v>15</v>
      </c>
      <c r="AS84">
        <v>14.55</v>
      </c>
      <c r="AT84">
        <v>5.784511E-3</v>
      </c>
      <c r="AU84" t="s">
        <v>70</v>
      </c>
      <c r="AV84" t="s">
        <v>65</v>
      </c>
      <c r="AW84" t="s">
        <v>57</v>
      </c>
      <c r="AX84">
        <v>4</v>
      </c>
      <c r="AY84" t="s">
        <v>58</v>
      </c>
    </row>
    <row r="85" spans="1:51" x14ac:dyDescent="0.3">
      <c r="A85" s="1">
        <v>45049</v>
      </c>
      <c r="B85" s="2">
        <v>0.31736111111111115</v>
      </c>
      <c r="C85">
        <v>9</v>
      </c>
      <c r="D85" t="s">
        <v>27</v>
      </c>
      <c r="E85">
        <v>9.5</v>
      </c>
      <c r="F85">
        <v>7.9</v>
      </c>
      <c r="G85" s="3">
        <v>14.5</v>
      </c>
      <c r="H85" s="3">
        <v>14.7</v>
      </c>
      <c r="I85" s="2">
        <v>0.35972222222222222</v>
      </c>
      <c r="J85">
        <f>VLOOKUP(D85,Fish_Container_info!$A$2:$E$20,4)</f>
        <v>2.7</v>
      </c>
      <c r="K85">
        <f>VLOOKUP(D85,Fish_Container_info!$A$2:$D$20,2)</f>
        <v>9</v>
      </c>
      <c r="L85">
        <f>VLOOKUP(D85,Fish_Container_info!$A$2:$D$20,3)</f>
        <v>67</v>
      </c>
      <c r="M85">
        <f>VLOOKUP(C85,Fish_Container_info!$G$2:$H$45,2)</f>
        <v>372</v>
      </c>
      <c r="N85">
        <v>4</v>
      </c>
      <c r="O85" s="2">
        <f>I85-B85</f>
        <v>4.2361111111111072E-2</v>
      </c>
      <c r="P85" s="5">
        <f t="shared" si="71"/>
        <v>4.2361111111111072E-2</v>
      </c>
      <c r="Q85" s="5">
        <f t="shared" si="75"/>
        <v>0.19999999999999929</v>
      </c>
      <c r="R85" s="4">
        <f>E85-F85</f>
        <v>1.5999999999999996</v>
      </c>
      <c r="S85" s="5">
        <f t="shared" si="72"/>
        <v>5.9519999999999983E-4</v>
      </c>
      <c r="T85" s="5">
        <f t="shared" si="73"/>
        <v>2.0971079031074151E-4</v>
      </c>
      <c r="U85" s="3">
        <f>AVERAGE(G85:H85)</f>
        <v>14.6</v>
      </c>
      <c r="V85" s="5">
        <v>5.2039344262295112E-3</v>
      </c>
      <c r="AM85">
        <f t="shared" si="77"/>
        <v>3.9024241666666667E-4</v>
      </c>
      <c r="AN85">
        <f t="shared" ref="AN85:AO85" si="96">AM85*1000</f>
        <v>0.39024241666666665</v>
      </c>
      <c r="AO85">
        <f t="shared" si="96"/>
        <v>390.24241666666666</v>
      </c>
      <c r="AP85">
        <f t="shared" si="79"/>
        <v>6.5040402777777775</v>
      </c>
      <c r="AR85">
        <v>15</v>
      </c>
      <c r="AS85">
        <v>14.65</v>
      </c>
      <c r="AT85">
        <v>9.3658179999999997E-3</v>
      </c>
      <c r="AU85" t="s">
        <v>71</v>
      </c>
      <c r="AV85" t="s">
        <v>65</v>
      </c>
      <c r="AW85" t="s">
        <v>57</v>
      </c>
      <c r="AX85">
        <v>4</v>
      </c>
      <c r="AY85" t="s">
        <v>58</v>
      </c>
    </row>
    <row r="86" spans="1:51" x14ac:dyDescent="0.3">
      <c r="A86" s="1">
        <v>45049</v>
      </c>
      <c r="B86" s="2">
        <v>0.40347222222222223</v>
      </c>
      <c r="C86">
        <v>9</v>
      </c>
      <c r="D86" t="s">
        <v>27</v>
      </c>
      <c r="E86">
        <v>8.82</v>
      </c>
      <c r="F86">
        <v>6.96</v>
      </c>
      <c r="G86" s="3">
        <v>15.1</v>
      </c>
      <c r="H86" s="3">
        <v>16</v>
      </c>
      <c r="I86" s="2">
        <v>0.44722222222222219</v>
      </c>
      <c r="J86">
        <f>VLOOKUP(D86,Fish_Container_info!$A$2:$E$20,4)</f>
        <v>2.7</v>
      </c>
      <c r="K86">
        <f>VLOOKUP(D86,Fish_Container_info!$A$2:$D$20,2)</f>
        <v>9</v>
      </c>
      <c r="L86">
        <f>VLOOKUP(D86,Fish_Container_info!$A$2:$D$20,3)</f>
        <v>67</v>
      </c>
      <c r="M86">
        <f>VLOOKUP(C86,Fish_Container_info!$G$2:$H$45,2)</f>
        <v>372</v>
      </c>
      <c r="N86">
        <v>5</v>
      </c>
      <c r="O86" s="2">
        <f>I86-B86</f>
        <v>4.3749999999999956E-2</v>
      </c>
      <c r="P86" s="5">
        <f t="shared" si="71"/>
        <v>4.3749999999999956E-2</v>
      </c>
      <c r="Q86" s="5">
        <f t="shared" si="75"/>
        <v>0.90000000000000036</v>
      </c>
      <c r="R86" s="4">
        <f>E86-F86</f>
        <v>1.8600000000000003</v>
      </c>
      <c r="S86" s="5">
        <f t="shared" si="72"/>
        <v>6.9192000000000006E-4</v>
      </c>
      <c r="T86" s="5">
        <f t="shared" si="73"/>
        <v>2.3604946695095973E-4</v>
      </c>
      <c r="U86" s="3">
        <f>AVERAGE(G86:H86)</f>
        <v>15.55</v>
      </c>
      <c r="V86" s="5">
        <v>5.8575238095238159E-3</v>
      </c>
      <c r="AM86">
        <f t="shared" si="77"/>
        <v>2.1683058333333335E-4</v>
      </c>
      <c r="AN86">
        <f t="shared" ref="AN86:AO86" si="97">AM86*1000</f>
        <v>0.21683058333333335</v>
      </c>
      <c r="AO86">
        <f t="shared" si="97"/>
        <v>216.83058333333335</v>
      </c>
      <c r="AP86">
        <f t="shared" si="79"/>
        <v>3.6138430555555558</v>
      </c>
      <c r="AR86">
        <v>15</v>
      </c>
      <c r="AS86">
        <v>14.6</v>
      </c>
      <c r="AT86">
        <v>5.2039340000000003E-3</v>
      </c>
      <c r="AU86" t="s">
        <v>68</v>
      </c>
      <c r="AV86" t="s">
        <v>65</v>
      </c>
      <c r="AW86" t="s">
        <v>57</v>
      </c>
      <c r="AX86">
        <v>4</v>
      </c>
      <c r="AY86" t="s">
        <v>58</v>
      </c>
    </row>
    <row r="87" spans="1:51" x14ac:dyDescent="0.3">
      <c r="A87" s="1">
        <v>45049</v>
      </c>
      <c r="B87" s="2">
        <v>0.40625</v>
      </c>
      <c r="C87">
        <v>10</v>
      </c>
      <c r="D87" t="s">
        <v>28</v>
      </c>
      <c r="E87">
        <v>7.66</v>
      </c>
      <c r="F87">
        <v>6.75</v>
      </c>
      <c r="G87" s="3">
        <v>15.3</v>
      </c>
      <c r="H87" s="3">
        <v>15.9</v>
      </c>
      <c r="I87" s="2">
        <v>0.44930555555555557</v>
      </c>
      <c r="J87">
        <f>VLOOKUP(D87,Fish_Container_info!$A$2:$E$20,4)</f>
        <v>3.4</v>
      </c>
      <c r="K87">
        <f>VLOOKUP(D87,Fish_Container_info!$A$2:$D$20,2)</f>
        <v>1</v>
      </c>
      <c r="L87">
        <f>VLOOKUP(D87,Fish_Container_info!$A$2:$D$20,3)</f>
        <v>76</v>
      </c>
      <c r="M87">
        <f>VLOOKUP(C87,Fish_Container_info!$G$2:$H$45,2)</f>
        <v>374</v>
      </c>
      <c r="N87">
        <v>5</v>
      </c>
      <c r="O87" s="2">
        <f>I87-B87</f>
        <v>4.3055555555555569E-2</v>
      </c>
      <c r="P87" s="5">
        <f t="shared" si="71"/>
        <v>4.3055555555555569E-2</v>
      </c>
      <c r="Q87" s="5">
        <f t="shared" si="75"/>
        <v>0.59999999999999964</v>
      </c>
      <c r="R87" s="4">
        <f>E87-F87</f>
        <v>0.91000000000000014</v>
      </c>
      <c r="S87" s="5">
        <f t="shared" si="72"/>
        <v>3.4034000000000001E-4</v>
      </c>
      <c r="T87" s="5">
        <f t="shared" si="73"/>
        <v>1.0400882852292018E-4</v>
      </c>
      <c r="U87" s="3">
        <f>AVERAGE(G87:H87)</f>
        <v>15.600000000000001</v>
      </c>
      <c r="V87" s="5">
        <v>5.2697806451612889E-3</v>
      </c>
      <c r="AM87">
        <f t="shared" si="77"/>
        <v>2.4406350000000002E-4</v>
      </c>
      <c r="AN87">
        <f t="shared" ref="AN87:AO87" si="98">AM87*1000</f>
        <v>0.24406350000000002</v>
      </c>
      <c r="AO87">
        <f t="shared" si="98"/>
        <v>244.0635</v>
      </c>
      <c r="AP87">
        <f t="shared" si="79"/>
        <v>4.0677250000000003</v>
      </c>
      <c r="AR87">
        <v>16</v>
      </c>
      <c r="AS87">
        <v>15.55</v>
      </c>
      <c r="AT87">
        <v>5.8575240000000002E-3</v>
      </c>
      <c r="AU87" t="s">
        <v>68</v>
      </c>
      <c r="AV87" t="s">
        <v>65</v>
      </c>
      <c r="AW87" t="s">
        <v>57</v>
      </c>
      <c r="AX87">
        <v>5</v>
      </c>
      <c r="AY87" t="s">
        <v>58</v>
      </c>
    </row>
    <row r="88" spans="1:51" x14ac:dyDescent="0.3">
      <c r="A88" s="1">
        <v>45049</v>
      </c>
      <c r="B88" s="2">
        <v>0.40833333333333338</v>
      </c>
      <c r="C88">
        <v>11</v>
      </c>
      <c r="D88" t="s">
        <v>29</v>
      </c>
      <c r="E88">
        <v>7.36</v>
      </c>
      <c r="F88">
        <v>3.38</v>
      </c>
      <c r="G88" s="3">
        <v>15.2</v>
      </c>
      <c r="H88" s="3">
        <v>16</v>
      </c>
      <c r="I88" s="2">
        <v>0.45277777777777778</v>
      </c>
      <c r="J88">
        <f>VLOOKUP(D88,Fish_Container_info!$A$2:$E$20,4)</f>
        <v>3.4</v>
      </c>
      <c r="K88">
        <f>VLOOKUP(D88,Fish_Container_info!$A$2:$D$20,2)</f>
        <v>1</v>
      </c>
      <c r="L88">
        <f>VLOOKUP(D88,Fish_Container_info!$A$2:$D$20,3)</f>
        <v>76</v>
      </c>
      <c r="M88">
        <f>VLOOKUP(C88,Fish_Container_info!$G$2:$H$45,2)</f>
        <v>384</v>
      </c>
      <c r="N88">
        <v>5</v>
      </c>
      <c r="O88" s="2">
        <f>I88-B88</f>
        <v>4.4444444444444398E-2</v>
      </c>
      <c r="P88" s="5">
        <f t="shared" si="71"/>
        <v>4.4444444444444398E-2</v>
      </c>
      <c r="Q88" s="5">
        <f t="shared" si="75"/>
        <v>0.80000000000000071</v>
      </c>
      <c r="R88" s="4">
        <f>E88-F88</f>
        <v>3.9800000000000004</v>
      </c>
      <c r="S88" s="5">
        <f t="shared" si="72"/>
        <v>1.5283200000000001E-3</v>
      </c>
      <c r="T88" s="5">
        <f t="shared" si="73"/>
        <v>4.5246315789473739E-4</v>
      </c>
      <c r="U88" s="3">
        <f>AVERAGE(G88:H88)</f>
        <v>15.6</v>
      </c>
      <c r="V88" s="5">
        <v>7.3164255319149015E-3</v>
      </c>
      <c r="AM88">
        <f t="shared" si="77"/>
        <v>2.1957420833333335E-4</v>
      </c>
      <c r="AN88">
        <f t="shared" ref="AN88:AO88" si="99">AM88*1000</f>
        <v>0.21957420833333335</v>
      </c>
      <c r="AO88">
        <f t="shared" si="99"/>
        <v>219.57420833333336</v>
      </c>
      <c r="AP88">
        <f t="shared" si="79"/>
        <v>3.6595701388888893</v>
      </c>
      <c r="AR88">
        <v>16</v>
      </c>
      <c r="AS88">
        <v>15.6</v>
      </c>
      <c r="AT88">
        <v>5.2697810000000003E-3</v>
      </c>
      <c r="AU88" t="s">
        <v>69</v>
      </c>
      <c r="AV88" t="s">
        <v>65</v>
      </c>
      <c r="AW88" t="s">
        <v>57</v>
      </c>
      <c r="AX88">
        <v>5</v>
      </c>
      <c r="AY88" t="s">
        <v>58</v>
      </c>
    </row>
    <row r="89" spans="1:51" x14ac:dyDescent="0.3">
      <c r="A89" s="1">
        <v>45049</v>
      </c>
      <c r="B89" s="2">
        <v>0.41041666666666665</v>
      </c>
      <c r="C89">
        <v>12</v>
      </c>
      <c r="D89" t="s">
        <v>30</v>
      </c>
      <c r="E89">
        <v>8.4600000000000009</v>
      </c>
      <c r="F89">
        <v>7.07</v>
      </c>
      <c r="G89" s="3">
        <v>15.2</v>
      </c>
      <c r="H89" s="3">
        <v>16</v>
      </c>
      <c r="I89" s="2">
        <v>0.45555555555555555</v>
      </c>
      <c r="J89">
        <f>VLOOKUP(D89,Fish_Container_info!$A$2:$E$20,4)</f>
        <v>70.099999999999994</v>
      </c>
      <c r="K89">
        <f>VLOOKUP(D89,Fish_Container_info!$A$2:$D$20,2)</f>
        <v>15</v>
      </c>
      <c r="L89">
        <f>VLOOKUP(D89,Fish_Container_info!$A$2:$D$20,3)</f>
        <v>206</v>
      </c>
      <c r="M89">
        <f>VLOOKUP(C89,Fish_Container_info!$G$2:$H$45,2)</f>
        <v>376</v>
      </c>
      <c r="N89">
        <v>5</v>
      </c>
      <c r="O89" s="2">
        <f>I89-B89</f>
        <v>4.5138888888888895E-2</v>
      </c>
      <c r="P89" s="5">
        <f t="shared" si="71"/>
        <v>4.5138888888888902E-2</v>
      </c>
      <c r="Q89" s="5">
        <f t="shared" si="75"/>
        <v>0.80000000000000071</v>
      </c>
      <c r="R89" s="4">
        <f>E89-F89</f>
        <v>1.3900000000000006</v>
      </c>
      <c r="S89" s="5">
        <f t="shared" si="72"/>
        <v>5.2264000000000021E-4</v>
      </c>
      <c r="T89" s="5">
        <f t="shared" si="73"/>
        <v>5.6206243465272604E-5</v>
      </c>
      <c r="U89" s="3">
        <f>AVERAGE(G89:H89)</f>
        <v>15.6</v>
      </c>
      <c r="V89" s="5">
        <v>5.2629482517482524E-3</v>
      </c>
      <c r="AM89">
        <f t="shared" si="77"/>
        <v>3.0485108333333332E-4</v>
      </c>
      <c r="AN89">
        <f t="shared" ref="AN89:AO89" si="100">AM89*1000</f>
        <v>0.30485108333333333</v>
      </c>
      <c r="AO89">
        <f t="shared" si="100"/>
        <v>304.85108333333335</v>
      </c>
      <c r="AP89">
        <f t="shared" si="79"/>
        <v>5.0808513888888891</v>
      </c>
      <c r="AR89">
        <v>16</v>
      </c>
      <c r="AS89">
        <v>15.6</v>
      </c>
      <c r="AT89">
        <v>7.316426E-3</v>
      </c>
      <c r="AU89" t="s">
        <v>70</v>
      </c>
      <c r="AV89" t="s">
        <v>65</v>
      </c>
      <c r="AW89" t="s">
        <v>57</v>
      </c>
      <c r="AX89">
        <v>5</v>
      </c>
      <c r="AY89" t="s">
        <v>58</v>
      </c>
    </row>
    <row r="90" spans="1:51" x14ac:dyDescent="0.3">
      <c r="A90" s="1">
        <v>45049</v>
      </c>
      <c r="B90" s="2">
        <v>0.49027777777777781</v>
      </c>
      <c r="C90">
        <v>9</v>
      </c>
      <c r="D90" t="s">
        <v>27</v>
      </c>
      <c r="E90">
        <v>8.94</v>
      </c>
      <c r="F90">
        <v>7.6</v>
      </c>
      <c r="G90" s="3">
        <v>16.7</v>
      </c>
      <c r="H90" s="3">
        <v>17.3</v>
      </c>
      <c r="I90" s="2">
        <v>0.51944444444444449</v>
      </c>
      <c r="J90">
        <f>VLOOKUP(D90,Fish_Container_info!$A$2:$E$20,4)</f>
        <v>2.7</v>
      </c>
      <c r="K90">
        <f>VLOOKUP(D90,Fish_Container_info!$A$2:$D$20,2)</f>
        <v>9</v>
      </c>
      <c r="L90">
        <f>VLOOKUP(D90,Fish_Container_info!$A$2:$D$20,3)</f>
        <v>67</v>
      </c>
      <c r="M90">
        <f>VLOOKUP(C90,Fish_Container_info!$G$2:$H$45,2)</f>
        <v>372</v>
      </c>
      <c r="N90">
        <v>6</v>
      </c>
      <c r="O90" s="2">
        <f>I90-B90</f>
        <v>2.9166666666666674E-2</v>
      </c>
      <c r="P90" s="5">
        <f t="shared" si="71"/>
        <v>2.9166666666666678E-2</v>
      </c>
      <c r="Q90" s="5">
        <f t="shared" si="75"/>
        <v>0.60000000000000142</v>
      </c>
      <c r="R90" s="4">
        <f>E90-F90</f>
        <v>1.3399999999999999</v>
      </c>
      <c r="S90" s="5">
        <f t="shared" si="72"/>
        <v>4.9847999999999993E-4</v>
      </c>
      <c r="T90" s="5">
        <f t="shared" si="73"/>
        <v>2.5508571428571418E-4</v>
      </c>
      <c r="U90" s="3">
        <f>AVERAGE(G90:H90)</f>
        <v>17</v>
      </c>
      <c r="V90" s="5">
        <v>6.3299047619047579E-3</v>
      </c>
      <c r="AM90">
        <f t="shared" si="77"/>
        <v>2.1928949999999999E-4</v>
      </c>
      <c r="AN90">
        <f t="shared" ref="AN90:AO90" si="101">AM90*1000</f>
        <v>0.2192895</v>
      </c>
      <c r="AO90">
        <f t="shared" si="101"/>
        <v>219.2895</v>
      </c>
      <c r="AP90">
        <f t="shared" si="79"/>
        <v>3.6548250000000002</v>
      </c>
      <c r="AR90">
        <v>16</v>
      </c>
      <c r="AS90">
        <v>15.6</v>
      </c>
      <c r="AT90">
        <v>5.2629479999999999E-3</v>
      </c>
      <c r="AU90" t="s">
        <v>71</v>
      </c>
      <c r="AV90" t="s">
        <v>65</v>
      </c>
      <c r="AW90" t="s">
        <v>57</v>
      </c>
      <c r="AX90">
        <v>5</v>
      </c>
      <c r="AY90" t="s">
        <v>58</v>
      </c>
    </row>
    <row r="91" spans="1:51" x14ac:dyDescent="0.3">
      <c r="A91" s="1">
        <v>45049</v>
      </c>
      <c r="B91" s="2">
        <v>0.4916666666666667</v>
      </c>
      <c r="C91">
        <v>10</v>
      </c>
      <c r="D91" t="s">
        <v>28</v>
      </c>
      <c r="E91">
        <v>8.69</v>
      </c>
      <c r="F91">
        <v>7.59</v>
      </c>
      <c r="G91" s="3">
        <v>16.600000000000001</v>
      </c>
      <c r="H91" s="3">
        <v>17.3</v>
      </c>
      <c r="I91" s="2">
        <v>0.52083333333333337</v>
      </c>
      <c r="J91">
        <f>VLOOKUP(D91,Fish_Container_info!$A$2:$E$20,4)</f>
        <v>3.4</v>
      </c>
      <c r="K91">
        <f>VLOOKUP(D91,Fish_Container_info!$A$2:$D$20,2)</f>
        <v>1</v>
      </c>
      <c r="L91">
        <f>VLOOKUP(D91,Fish_Container_info!$A$2:$D$20,3)</f>
        <v>76</v>
      </c>
      <c r="M91">
        <f>VLOOKUP(C91,Fish_Container_info!$G$2:$H$45,2)</f>
        <v>374</v>
      </c>
      <c r="N91">
        <v>6</v>
      </c>
      <c r="O91" s="2">
        <f>I91-B91</f>
        <v>2.9166666666666674E-2</v>
      </c>
      <c r="P91" s="5">
        <f t="shared" si="71"/>
        <v>2.9166666666666678E-2</v>
      </c>
      <c r="Q91" s="5">
        <f t="shared" si="75"/>
        <v>0.69999999999999929</v>
      </c>
      <c r="R91" s="4">
        <f>E91-F91</f>
        <v>1.0999999999999996</v>
      </c>
      <c r="S91" s="5">
        <f t="shared" si="72"/>
        <v>4.1139999999999986E-4</v>
      </c>
      <c r="T91" s="5">
        <f t="shared" si="73"/>
        <v>1.8559398496240586E-4</v>
      </c>
      <c r="U91" s="3">
        <f>AVERAGE(G91:H91)</f>
        <v>16.950000000000003</v>
      </c>
      <c r="V91" s="5">
        <v>9.4034285714285661E-3</v>
      </c>
      <c r="AM91">
        <f t="shared" si="77"/>
        <v>2.6374604166666668E-4</v>
      </c>
      <c r="AN91">
        <f t="shared" ref="AN91:AO91" si="102">AM91*1000</f>
        <v>0.26374604166666665</v>
      </c>
      <c r="AO91">
        <f t="shared" si="102"/>
        <v>263.74604166666666</v>
      </c>
      <c r="AP91">
        <f t="shared" si="79"/>
        <v>4.395767361111111</v>
      </c>
      <c r="AR91">
        <v>17</v>
      </c>
      <c r="AS91">
        <v>17</v>
      </c>
      <c r="AT91">
        <v>6.3299050000000003E-3</v>
      </c>
      <c r="AU91" t="s">
        <v>68</v>
      </c>
      <c r="AV91" t="s">
        <v>65</v>
      </c>
      <c r="AW91" t="s">
        <v>57</v>
      </c>
      <c r="AX91">
        <v>6</v>
      </c>
      <c r="AY91" t="s">
        <v>58</v>
      </c>
    </row>
    <row r="92" spans="1:51" x14ac:dyDescent="0.3">
      <c r="A92" s="1">
        <v>45049</v>
      </c>
      <c r="B92" s="2">
        <v>0.49305555555555558</v>
      </c>
      <c r="C92">
        <v>11</v>
      </c>
      <c r="D92" t="s">
        <v>29</v>
      </c>
      <c r="E92">
        <v>9.11</v>
      </c>
      <c r="F92">
        <v>5.85</v>
      </c>
      <c r="G92" s="3">
        <v>16.600000000000001</v>
      </c>
      <c r="H92" s="3">
        <v>17.600000000000001</v>
      </c>
      <c r="I92" s="2">
        <v>0.52500000000000002</v>
      </c>
      <c r="J92">
        <f>VLOOKUP(D92,Fish_Container_info!$A$2:$E$20,4)</f>
        <v>3.4</v>
      </c>
      <c r="K92">
        <f>VLOOKUP(D92,Fish_Container_info!$A$2:$D$20,2)</f>
        <v>1</v>
      </c>
      <c r="L92">
        <f>VLOOKUP(D92,Fish_Container_info!$A$2:$D$20,3)</f>
        <v>76</v>
      </c>
      <c r="M92">
        <f>VLOOKUP(C92,Fish_Container_info!$G$2:$H$45,2)</f>
        <v>384</v>
      </c>
      <c r="N92">
        <v>6</v>
      </c>
      <c r="O92" s="2">
        <f>I92-B92</f>
        <v>3.1944444444444442E-2</v>
      </c>
      <c r="P92" s="5">
        <f t="shared" si="71"/>
        <v>3.1944444444444442E-2</v>
      </c>
      <c r="Q92" s="5">
        <f t="shared" si="75"/>
        <v>1</v>
      </c>
      <c r="R92" s="4">
        <f>E92-F92</f>
        <v>3.26</v>
      </c>
      <c r="S92" s="5">
        <f t="shared" si="72"/>
        <v>1.2518399999999999E-3</v>
      </c>
      <c r="T92" s="5">
        <f t="shared" si="73"/>
        <v>5.1563203661327234E-4</v>
      </c>
      <c r="U92" s="3">
        <f>AVERAGE(G92:H92)</f>
        <v>17.100000000000001</v>
      </c>
      <c r="V92" s="5">
        <v>8.3378797409805749E-3</v>
      </c>
      <c r="AM92">
        <f t="shared" si="77"/>
        <v>3.9180954166666667E-4</v>
      </c>
      <c r="AN92">
        <f t="shared" ref="AN92:AO92" si="103">AM92*1000</f>
        <v>0.39180954166666665</v>
      </c>
      <c r="AO92">
        <f t="shared" si="103"/>
        <v>391.80954166666663</v>
      </c>
      <c r="AP92">
        <f t="shared" si="79"/>
        <v>6.5301590277777768</v>
      </c>
      <c r="AR92">
        <v>17</v>
      </c>
      <c r="AS92">
        <v>16.95</v>
      </c>
      <c r="AT92">
        <v>9.4034289999999996E-3</v>
      </c>
      <c r="AU92" t="s">
        <v>69</v>
      </c>
      <c r="AV92" t="s">
        <v>65</v>
      </c>
      <c r="AW92" t="s">
        <v>57</v>
      </c>
      <c r="AX92">
        <v>6</v>
      </c>
      <c r="AY92" t="s">
        <v>58</v>
      </c>
    </row>
    <row r="93" spans="1:51" x14ac:dyDescent="0.3">
      <c r="A93" s="1">
        <v>45049</v>
      </c>
      <c r="B93" s="2">
        <v>0.49444444444444446</v>
      </c>
      <c r="C93">
        <v>12</v>
      </c>
      <c r="D93" t="s">
        <v>30</v>
      </c>
      <c r="E93">
        <v>9</v>
      </c>
      <c r="F93">
        <v>7.75</v>
      </c>
      <c r="G93" s="3">
        <v>16.600000000000001</v>
      </c>
      <c r="H93" s="3">
        <v>17.5</v>
      </c>
      <c r="I93" s="2">
        <v>0.52708333333333335</v>
      </c>
      <c r="J93">
        <f>VLOOKUP(D93,Fish_Container_info!$A$2:$E$20,4)</f>
        <v>70.099999999999994</v>
      </c>
      <c r="K93">
        <f>VLOOKUP(D93,Fish_Container_info!$A$2:$D$20,2)</f>
        <v>15</v>
      </c>
      <c r="L93">
        <f>VLOOKUP(D93,Fish_Container_info!$A$2:$D$20,3)</f>
        <v>206</v>
      </c>
      <c r="M93">
        <f>VLOOKUP(C93,Fish_Container_info!$G$2:$H$45,2)</f>
        <v>376</v>
      </c>
      <c r="N93">
        <v>6</v>
      </c>
      <c r="O93" s="2">
        <f>I93-B93</f>
        <v>3.2638888888888884E-2</v>
      </c>
      <c r="P93" s="5">
        <f t="shared" si="71"/>
        <v>3.2638888888888884E-2</v>
      </c>
      <c r="Q93" s="5">
        <f t="shared" si="75"/>
        <v>0.89999999999999858</v>
      </c>
      <c r="R93" s="4">
        <f>E93-F93</f>
        <v>1.25</v>
      </c>
      <c r="S93" s="5">
        <f t="shared" si="72"/>
        <v>4.6999999999999999E-4</v>
      </c>
      <c r="T93" s="5">
        <f t="shared" si="73"/>
        <v>6.990291262135923E-5</v>
      </c>
      <c r="U93" s="3">
        <f>AVERAGE(G93:H93)</f>
        <v>17.05</v>
      </c>
      <c r="V93" s="5">
        <v>6.5454545454545453E-3</v>
      </c>
      <c r="AM93">
        <f t="shared" si="77"/>
        <v>3.4741166666666669E-4</v>
      </c>
      <c r="AN93">
        <f t="shared" ref="AN93:AO93" si="104">AM93*1000</f>
        <v>0.34741166666666667</v>
      </c>
      <c r="AO93">
        <f t="shared" si="104"/>
        <v>347.41166666666669</v>
      </c>
      <c r="AP93">
        <f t="shared" si="79"/>
        <v>5.7901944444444444</v>
      </c>
      <c r="AR93">
        <v>17</v>
      </c>
      <c r="AS93">
        <v>17.100000000000001</v>
      </c>
      <c r="AT93">
        <v>8.3378800000000006E-3</v>
      </c>
      <c r="AU93" t="s">
        <v>70</v>
      </c>
      <c r="AV93" t="s">
        <v>65</v>
      </c>
      <c r="AW93" t="s">
        <v>57</v>
      </c>
      <c r="AX93">
        <v>6</v>
      </c>
      <c r="AY93" t="s">
        <v>58</v>
      </c>
    </row>
    <row r="94" spans="1:51" x14ac:dyDescent="0.3">
      <c r="A94" s="1">
        <v>45049</v>
      </c>
      <c r="B94" s="2">
        <v>0.56388888888888888</v>
      </c>
      <c r="C94">
        <v>9</v>
      </c>
      <c r="D94" t="s">
        <v>27</v>
      </c>
      <c r="E94">
        <v>8.74</v>
      </c>
      <c r="F94">
        <v>7.22</v>
      </c>
      <c r="G94" s="3">
        <v>18.399999999999999</v>
      </c>
      <c r="H94" s="3">
        <v>18.899999999999999</v>
      </c>
      <c r="I94" s="2">
        <v>0.58958333333333335</v>
      </c>
      <c r="J94">
        <f>VLOOKUP(D94,Fish_Container_info!$A$2:$E$20,4)</f>
        <v>2.7</v>
      </c>
      <c r="K94">
        <f>VLOOKUP(D94,Fish_Container_info!$A$2:$D$20,2)</f>
        <v>9</v>
      </c>
      <c r="L94">
        <f>VLOOKUP(D94,Fish_Container_info!$A$2:$D$20,3)</f>
        <v>67</v>
      </c>
      <c r="M94">
        <f>VLOOKUP(C94,Fish_Container_info!$G$2:$H$45,2)</f>
        <v>372</v>
      </c>
      <c r="N94">
        <v>7</v>
      </c>
      <c r="O94" s="2">
        <f>I94-B94</f>
        <v>2.5694444444444464E-2</v>
      </c>
      <c r="P94" s="5">
        <f t="shared" si="71"/>
        <v>2.5694444444444464E-2</v>
      </c>
      <c r="Q94" s="5">
        <f t="shared" si="75"/>
        <v>0.5</v>
      </c>
      <c r="R94" s="4">
        <f>E94-F94</f>
        <v>1.5200000000000005</v>
      </c>
      <c r="S94" s="5">
        <f t="shared" si="72"/>
        <v>5.6544000000000017E-4</v>
      </c>
      <c r="T94" s="5">
        <f t="shared" si="73"/>
        <v>3.2845244050020155E-4</v>
      </c>
      <c r="U94" s="3">
        <f>AVERAGE(G94:H94)</f>
        <v>18.649999999999999</v>
      </c>
      <c r="V94" s="5">
        <v>8.1504864864864815E-3</v>
      </c>
      <c r="AM94">
        <f t="shared" si="77"/>
        <v>2.7272729166666668E-4</v>
      </c>
      <c r="AN94">
        <f t="shared" ref="AN94:AO94" si="105">AM94*1000</f>
        <v>0.2727272916666667</v>
      </c>
      <c r="AO94">
        <f t="shared" si="105"/>
        <v>272.7272916666667</v>
      </c>
      <c r="AP94">
        <f t="shared" si="79"/>
        <v>4.5454548611111116</v>
      </c>
      <c r="AR94">
        <v>17</v>
      </c>
      <c r="AS94">
        <v>17.05</v>
      </c>
      <c r="AT94">
        <v>6.5454550000000004E-3</v>
      </c>
      <c r="AU94" t="s">
        <v>71</v>
      </c>
      <c r="AV94" t="s">
        <v>65</v>
      </c>
      <c r="AW94" t="s">
        <v>57</v>
      </c>
      <c r="AX94">
        <v>6</v>
      </c>
      <c r="AY94" t="s">
        <v>58</v>
      </c>
    </row>
    <row r="95" spans="1:51" x14ac:dyDescent="0.3">
      <c r="A95" s="1">
        <v>45049</v>
      </c>
      <c r="B95" s="2">
        <v>0.56527777777777777</v>
      </c>
      <c r="C95">
        <v>10</v>
      </c>
      <c r="D95" t="s">
        <v>28</v>
      </c>
      <c r="E95">
        <v>8.58</v>
      </c>
      <c r="F95">
        <v>7.54</v>
      </c>
      <c r="G95" s="3">
        <v>18.399999999999999</v>
      </c>
      <c r="H95" s="3">
        <v>18.899999999999999</v>
      </c>
      <c r="I95" s="2">
        <v>0.59097222222222223</v>
      </c>
      <c r="J95">
        <f>VLOOKUP(D95,Fish_Container_info!$A$2:$E$20,4)</f>
        <v>3.4</v>
      </c>
      <c r="K95">
        <f>VLOOKUP(D95,Fish_Container_info!$A$2:$D$20,2)</f>
        <v>1</v>
      </c>
      <c r="L95">
        <f>VLOOKUP(D95,Fish_Container_info!$A$2:$D$20,3)</f>
        <v>76</v>
      </c>
      <c r="M95">
        <f>VLOOKUP(C95,Fish_Container_info!$G$2:$H$45,2)</f>
        <v>374</v>
      </c>
      <c r="N95">
        <v>7</v>
      </c>
      <c r="O95" s="2">
        <f>I95-B95</f>
        <v>2.5694444444444464E-2</v>
      </c>
      <c r="P95" s="5">
        <f t="shared" si="71"/>
        <v>2.5694444444444464E-2</v>
      </c>
      <c r="Q95" s="5">
        <f t="shared" si="75"/>
        <v>0.5</v>
      </c>
      <c r="R95" s="4">
        <f>E95-F95</f>
        <v>1.04</v>
      </c>
      <c r="S95" s="5">
        <f t="shared" si="72"/>
        <v>3.8896000000000004E-4</v>
      </c>
      <c r="T95" s="5">
        <f t="shared" si="73"/>
        <v>1.9918293029871966E-4</v>
      </c>
      <c r="U95" s="3">
        <f>AVERAGE(G95:H95)</f>
        <v>18.649999999999999</v>
      </c>
      <c r="V95" s="5">
        <v>1.0091935135135129E-2</v>
      </c>
      <c r="AM95">
        <f t="shared" si="77"/>
        <v>3.3960358333333336E-4</v>
      </c>
      <c r="AN95">
        <f t="shared" ref="AN95:AO95" si="106">AM95*1000</f>
        <v>0.33960358333333335</v>
      </c>
      <c r="AO95">
        <f t="shared" si="106"/>
        <v>339.60358333333335</v>
      </c>
      <c r="AP95">
        <f t="shared" si="79"/>
        <v>5.6600597222222229</v>
      </c>
      <c r="AR95">
        <v>19</v>
      </c>
      <c r="AS95">
        <v>18.649999999999999</v>
      </c>
      <c r="AT95">
        <v>8.1504860000000002E-3</v>
      </c>
      <c r="AU95" t="s">
        <v>68</v>
      </c>
      <c r="AV95" t="s">
        <v>65</v>
      </c>
      <c r="AW95" t="s">
        <v>57</v>
      </c>
      <c r="AX95">
        <v>7</v>
      </c>
      <c r="AY95" t="s">
        <v>58</v>
      </c>
    </row>
    <row r="96" spans="1:51" x14ac:dyDescent="0.3">
      <c r="A96" s="1">
        <v>45049</v>
      </c>
      <c r="B96" s="2">
        <v>0.56666666666666665</v>
      </c>
      <c r="C96">
        <v>11</v>
      </c>
      <c r="D96" t="s">
        <v>29</v>
      </c>
      <c r="E96">
        <v>8.69</v>
      </c>
      <c r="F96">
        <v>6.25</v>
      </c>
      <c r="G96" s="3">
        <v>18.3</v>
      </c>
      <c r="H96" s="3">
        <v>18.8</v>
      </c>
      <c r="I96" s="2">
        <v>0.59305555555555556</v>
      </c>
      <c r="J96">
        <f>VLOOKUP(D96,Fish_Container_info!$A$2:$E$20,4)</f>
        <v>3.4</v>
      </c>
      <c r="K96">
        <f>VLOOKUP(D96,Fish_Container_info!$A$2:$D$20,2)</f>
        <v>1</v>
      </c>
      <c r="L96">
        <f>VLOOKUP(D96,Fish_Container_info!$A$2:$D$20,3)</f>
        <v>76</v>
      </c>
      <c r="M96">
        <f>VLOOKUP(C96,Fish_Container_info!$G$2:$H$45,2)</f>
        <v>384</v>
      </c>
      <c r="N96">
        <v>7</v>
      </c>
      <c r="O96" s="2">
        <f>I96-B96</f>
        <v>2.6388888888888906E-2</v>
      </c>
      <c r="P96" s="5">
        <f t="shared" si="71"/>
        <v>2.638888888888891E-2</v>
      </c>
      <c r="Q96" s="5">
        <f t="shared" si="75"/>
        <v>0.5</v>
      </c>
      <c r="R96" s="4">
        <f>E96-F96</f>
        <v>2.4399999999999995</v>
      </c>
      <c r="S96" s="5">
        <f t="shared" si="72"/>
        <v>9.3695999999999981E-4</v>
      </c>
      <c r="T96" s="5">
        <f t="shared" si="73"/>
        <v>4.6718227146814355E-4</v>
      </c>
      <c r="U96" s="3">
        <f>AVERAGE(G96:H96)</f>
        <v>18.55</v>
      </c>
      <c r="V96" s="5">
        <v>7.5544367301231723E-3</v>
      </c>
      <c r="AM96">
        <f t="shared" si="77"/>
        <v>4.2049729166666666E-4</v>
      </c>
      <c r="AN96">
        <f t="shared" ref="AN96:AO96" si="107">AM96*1000</f>
        <v>0.42049729166666666</v>
      </c>
      <c r="AO96">
        <f t="shared" si="107"/>
        <v>420.49729166666668</v>
      </c>
      <c r="AP96">
        <f t="shared" si="79"/>
        <v>7.0082881944444448</v>
      </c>
      <c r="AR96">
        <v>19</v>
      </c>
      <c r="AS96">
        <v>18.649999999999999</v>
      </c>
      <c r="AT96">
        <v>1.0091935E-2</v>
      </c>
      <c r="AU96" t="s">
        <v>69</v>
      </c>
      <c r="AV96" t="s">
        <v>65</v>
      </c>
      <c r="AW96" t="s">
        <v>57</v>
      </c>
      <c r="AX96">
        <v>7</v>
      </c>
      <c r="AY96" t="s">
        <v>58</v>
      </c>
    </row>
    <row r="97" spans="1:51" x14ac:dyDescent="0.3">
      <c r="A97" s="1">
        <v>45049</v>
      </c>
      <c r="B97" s="2">
        <v>0.56944444444444442</v>
      </c>
      <c r="C97">
        <v>12</v>
      </c>
      <c r="D97" t="s">
        <v>30</v>
      </c>
      <c r="E97">
        <v>8.57</v>
      </c>
      <c r="F97">
        <v>7.1</v>
      </c>
      <c r="G97" s="3">
        <v>18.399999999999999</v>
      </c>
      <c r="H97" s="3">
        <v>18.899999999999999</v>
      </c>
      <c r="I97" s="2">
        <v>0.59583333333333333</v>
      </c>
      <c r="J97">
        <f>VLOOKUP(D97,Fish_Container_info!$A$2:$E$20,4)</f>
        <v>70.099999999999994</v>
      </c>
      <c r="K97">
        <f>VLOOKUP(D97,Fish_Container_info!$A$2:$D$20,2)</f>
        <v>15</v>
      </c>
      <c r="L97">
        <f>VLOOKUP(D97,Fish_Container_info!$A$2:$D$20,3)</f>
        <v>206</v>
      </c>
      <c r="M97">
        <f>VLOOKUP(C97,Fish_Container_info!$G$2:$H$45,2)</f>
        <v>376</v>
      </c>
      <c r="N97">
        <v>7</v>
      </c>
      <c r="O97" s="2">
        <f>I97-B97</f>
        <v>2.6388888888888906E-2</v>
      </c>
      <c r="P97" s="5">
        <f t="shared" si="71"/>
        <v>2.638888888888891E-2</v>
      </c>
      <c r="Q97" s="5">
        <f t="shared" si="75"/>
        <v>0.5</v>
      </c>
      <c r="R97" s="4">
        <f>E97-F97</f>
        <v>1.4700000000000006</v>
      </c>
      <c r="S97" s="5">
        <f t="shared" si="72"/>
        <v>5.5272000000000025E-4</v>
      </c>
      <c r="T97" s="5">
        <f t="shared" si="73"/>
        <v>1.0167562595809911E-4</v>
      </c>
      <c r="U97" s="3">
        <f>AVERAGE(G97:H97)</f>
        <v>18.649999999999999</v>
      </c>
      <c r="V97" s="5">
        <v>9.520535885167462E-3</v>
      </c>
      <c r="AM97">
        <f t="shared" si="77"/>
        <v>3.1476820833333332E-4</v>
      </c>
      <c r="AN97">
        <f t="shared" ref="AN97:AO97" si="108">AM97*1000</f>
        <v>0.3147682083333333</v>
      </c>
      <c r="AO97">
        <f t="shared" si="108"/>
        <v>314.76820833333329</v>
      </c>
      <c r="AP97">
        <f t="shared" si="79"/>
        <v>5.2461368055555546</v>
      </c>
      <c r="AR97">
        <v>19</v>
      </c>
      <c r="AS97">
        <v>18.55</v>
      </c>
      <c r="AT97">
        <v>7.5544369999999998E-3</v>
      </c>
      <c r="AU97" t="s">
        <v>70</v>
      </c>
      <c r="AV97" t="s">
        <v>65</v>
      </c>
      <c r="AW97" t="s">
        <v>57</v>
      </c>
      <c r="AX97">
        <v>7</v>
      </c>
      <c r="AY97" t="s">
        <v>58</v>
      </c>
    </row>
    <row r="98" spans="1:51" x14ac:dyDescent="0.3">
      <c r="A98" s="1">
        <v>45049</v>
      </c>
      <c r="B98" s="2">
        <v>0.63263888888888886</v>
      </c>
      <c r="C98">
        <v>9</v>
      </c>
      <c r="D98" t="s">
        <v>27</v>
      </c>
      <c r="E98">
        <v>8.8000000000000007</v>
      </c>
      <c r="F98">
        <v>6.83</v>
      </c>
      <c r="G98" s="3">
        <v>19.600000000000001</v>
      </c>
      <c r="H98" s="3">
        <v>19.7</v>
      </c>
      <c r="I98" s="2">
        <v>0.66388888888888886</v>
      </c>
      <c r="J98">
        <f>VLOOKUP(D98,Fish_Container_info!$A$2:$E$20,4)</f>
        <v>2.7</v>
      </c>
      <c r="K98">
        <f>VLOOKUP(D98,Fish_Container_info!$A$2:$D$20,2)</f>
        <v>9</v>
      </c>
      <c r="L98">
        <f>VLOOKUP(D98,Fish_Container_info!$A$2:$D$20,3)</f>
        <v>67</v>
      </c>
      <c r="M98">
        <f>VLOOKUP(C98,Fish_Container_info!$G$2:$H$45,2)</f>
        <v>372</v>
      </c>
      <c r="N98">
        <v>8</v>
      </c>
      <c r="O98" s="2">
        <f>I98-B98</f>
        <v>3.125E-2</v>
      </c>
      <c r="P98" s="5">
        <f t="shared" ref="P98:P127" si="109">VALUE(O98*24*60)/(24*60)</f>
        <v>3.125E-2</v>
      </c>
      <c r="Q98" s="5">
        <f t="shared" si="75"/>
        <v>9.9999999999997868E-2</v>
      </c>
      <c r="R98" s="4">
        <f>E98-F98</f>
        <v>1.9700000000000006</v>
      </c>
      <c r="S98" s="5">
        <f t="shared" ref="S98:S127" si="110">R98*(M98/1000)/1000</f>
        <v>7.3284000000000023E-4</v>
      </c>
      <c r="T98" s="5">
        <f t="shared" ref="T98:T127" si="111">(S98/L98)/P98</f>
        <v>3.5001313432835832E-4</v>
      </c>
      <c r="U98" s="3">
        <f>AVERAGE(G98:H98)</f>
        <v>19.649999999999999</v>
      </c>
      <c r="V98" s="5">
        <v>8.6855111111111133E-3</v>
      </c>
      <c r="AM98">
        <f t="shared" si="77"/>
        <v>3.9668899999999998E-4</v>
      </c>
      <c r="AN98">
        <f t="shared" ref="AN98:AO98" si="112">AM98*1000</f>
        <v>0.39668899999999996</v>
      </c>
      <c r="AO98">
        <f t="shared" si="112"/>
        <v>396.68899999999996</v>
      </c>
      <c r="AP98">
        <f t="shared" si="79"/>
        <v>6.6114833333333332</v>
      </c>
      <c r="AR98">
        <v>19</v>
      </c>
      <c r="AS98">
        <v>18.649999999999999</v>
      </c>
      <c r="AT98">
        <v>9.5205359999999996E-3</v>
      </c>
      <c r="AU98" t="s">
        <v>71</v>
      </c>
      <c r="AV98" t="s">
        <v>65</v>
      </c>
      <c r="AW98" t="s">
        <v>57</v>
      </c>
      <c r="AX98">
        <v>7</v>
      </c>
      <c r="AY98" t="s">
        <v>58</v>
      </c>
    </row>
    <row r="99" spans="1:51" x14ac:dyDescent="0.3">
      <c r="A99" s="1">
        <v>45049</v>
      </c>
      <c r="B99" s="2">
        <v>0.63402777777777775</v>
      </c>
      <c r="C99">
        <v>10</v>
      </c>
      <c r="D99" t="s">
        <v>28</v>
      </c>
      <c r="E99">
        <v>8.1999999999999993</v>
      </c>
      <c r="F99">
        <v>6.92</v>
      </c>
      <c r="G99" s="3">
        <v>19.399999999999999</v>
      </c>
      <c r="H99" s="3">
        <v>19.8</v>
      </c>
      <c r="I99" s="2">
        <v>0.66666666666666663</v>
      </c>
      <c r="J99">
        <f>VLOOKUP(D99,Fish_Container_info!$A$2:$E$20,4)</f>
        <v>3.4</v>
      </c>
      <c r="K99">
        <f>VLOOKUP(D99,Fish_Container_info!$A$2:$D$20,2)</f>
        <v>1</v>
      </c>
      <c r="L99">
        <f>VLOOKUP(D99,Fish_Container_info!$A$2:$D$20,3)</f>
        <v>76</v>
      </c>
      <c r="M99">
        <f>VLOOKUP(C99,Fish_Container_info!$G$2:$H$45,2)</f>
        <v>374</v>
      </c>
      <c r="N99">
        <v>8</v>
      </c>
      <c r="O99" s="2">
        <f>I99-B99</f>
        <v>3.2638888888888884E-2</v>
      </c>
      <c r="P99" s="5">
        <f t="shared" si="109"/>
        <v>3.2638888888888884E-2</v>
      </c>
      <c r="Q99" s="5">
        <f t="shared" si="75"/>
        <v>0.40000000000000213</v>
      </c>
      <c r="R99" s="4">
        <f>E99-F99</f>
        <v>1.2799999999999994</v>
      </c>
      <c r="S99" s="5">
        <f t="shared" si="110"/>
        <v>4.7871999999999975E-4</v>
      </c>
      <c r="T99" s="5">
        <f t="shared" si="111"/>
        <v>1.92989025755879E-4</v>
      </c>
      <c r="U99" s="3">
        <f>AVERAGE(G99:H99)</f>
        <v>19.600000000000001</v>
      </c>
      <c r="V99" s="5">
        <v>9.778110638297869E-3</v>
      </c>
      <c r="AM99">
        <f t="shared" si="77"/>
        <v>3.6189629166666668E-4</v>
      </c>
      <c r="AN99">
        <f t="shared" ref="AN99:AO99" si="113">AM99*1000</f>
        <v>0.3618962916666667</v>
      </c>
      <c r="AO99">
        <f t="shared" si="113"/>
        <v>361.89629166666668</v>
      </c>
      <c r="AP99">
        <f t="shared" si="79"/>
        <v>6.031604861111111</v>
      </c>
      <c r="AR99">
        <v>20</v>
      </c>
      <c r="AS99">
        <v>19.649999999999999</v>
      </c>
      <c r="AT99">
        <v>8.6855109999999999E-3</v>
      </c>
      <c r="AU99" t="s">
        <v>68</v>
      </c>
      <c r="AV99" t="s">
        <v>65</v>
      </c>
      <c r="AW99" t="s">
        <v>57</v>
      </c>
      <c r="AX99">
        <v>8</v>
      </c>
      <c r="AY99" t="s">
        <v>58</v>
      </c>
    </row>
    <row r="100" spans="1:51" x14ac:dyDescent="0.3">
      <c r="A100" s="1">
        <v>45049</v>
      </c>
      <c r="B100" s="2">
        <v>0.63541666666666663</v>
      </c>
      <c r="C100">
        <v>11</v>
      </c>
      <c r="D100" t="s">
        <v>29</v>
      </c>
      <c r="E100">
        <v>8.5</v>
      </c>
      <c r="F100">
        <v>4.97</v>
      </c>
      <c r="G100" s="3">
        <v>19.2</v>
      </c>
      <c r="H100" s="3">
        <v>20.100000000000001</v>
      </c>
      <c r="I100" s="2">
        <v>0.6694444444444444</v>
      </c>
      <c r="J100">
        <f>VLOOKUP(D100,Fish_Container_info!$A$2:$E$20,4)</f>
        <v>3.4</v>
      </c>
      <c r="K100">
        <f>VLOOKUP(D100,Fish_Container_info!$A$2:$D$20,2)</f>
        <v>1</v>
      </c>
      <c r="L100">
        <f>VLOOKUP(D100,Fish_Container_info!$A$2:$D$20,3)</f>
        <v>76</v>
      </c>
      <c r="M100">
        <f>VLOOKUP(C100,Fish_Container_info!$G$2:$H$45,2)</f>
        <v>384</v>
      </c>
      <c r="N100">
        <v>8</v>
      </c>
      <c r="O100" s="2">
        <f>I100-B100</f>
        <v>3.4027777777777768E-2</v>
      </c>
      <c r="P100" s="5">
        <f t="shared" si="109"/>
        <v>3.4027777777777768E-2</v>
      </c>
      <c r="Q100" s="5">
        <f t="shared" si="75"/>
        <v>0.90000000000000213</v>
      </c>
      <c r="R100" s="4">
        <f>E100-F100</f>
        <v>3.5300000000000002</v>
      </c>
      <c r="S100" s="5">
        <f t="shared" si="110"/>
        <v>1.35552E-3</v>
      </c>
      <c r="T100" s="5">
        <f t="shared" si="111"/>
        <v>5.241538131041892E-4</v>
      </c>
      <c r="U100" s="3">
        <f>AVERAGE(G100:H100)</f>
        <v>19.649999999999999</v>
      </c>
      <c r="V100" s="5">
        <v>8.4756786799826331E-3</v>
      </c>
      <c r="AM100">
        <f t="shared" si="77"/>
        <v>4.0742129166666672E-4</v>
      </c>
      <c r="AN100">
        <f t="shared" ref="AN100:AO100" si="114">AM100*1000</f>
        <v>0.40742129166666674</v>
      </c>
      <c r="AO100">
        <f t="shared" si="114"/>
        <v>407.42129166666672</v>
      </c>
      <c r="AP100">
        <f t="shared" si="79"/>
        <v>6.790354861111112</v>
      </c>
      <c r="AR100">
        <v>20</v>
      </c>
      <c r="AS100">
        <v>19.600000000000001</v>
      </c>
      <c r="AT100">
        <v>9.7781110000000008E-3</v>
      </c>
      <c r="AU100" t="s">
        <v>69</v>
      </c>
      <c r="AV100" t="s">
        <v>65</v>
      </c>
      <c r="AW100" t="s">
        <v>57</v>
      </c>
      <c r="AX100">
        <v>8</v>
      </c>
      <c r="AY100" t="s">
        <v>58</v>
      </c>
    </row>
    <row r="101" spans="1:51" x14ac:dyDescent="0.3">
      <c r="A101" s="1">
        <v>45049</v>
      </c>
      <c r="B101" s="2">
        <v>0.63680555555555551</v>
      </c>
      <c r="C101">
        <v>12</v>
      </c>
      <c r="D101" t="s">
        <v>30</v>
      </c>
      <c r="E101">
        <v>8.41</v>
      </c>
      <c r="F101">
        <v>6.76</v>
      </c>
      <c r="G101" s="3">
        <v>19.3</v>
      </c>
      <c r="H101" s="3">
        <v>20.100000000000001</v>
      </c>
      <c r="I101" s="2">
        <v>0.67083333333333339</v>
      </c>
      <c r="J101">
        <f>VLOOKUP(D101,Fish_Container_info!$A$2:$E$20,4)</f>
        <v>70.099999999999994</v>
      </c>
      <c r="K101">
        <f>VLOOKUP(D101,Fish_Container_info!$A$2:$D$20,2)</f>
        <v>15</v>
      </c>
      <c r="L101">
        <f>VLOOKUP(D101,Fish_Container_info!$A$2:$D$20,3)</f>
        <v>206</v>
      </c>
      <c r="M101">
        <f>VLOOKUP(C101,Fish_Container_info!$G$2:$H$45,2)</f>
        <v>376</v>
      </c>
      <c r="N101">
        <v>8</v>
      </c>
      <c r="O101" s="2">
        <f>I101-B101</f>
        <v>3.4027777777777879E-2</v>
      </c>
      <c r="P101" s="5">
        <f t="shared" si="109"/>
        <v>3.4027777777777879E-2</v>
      </c>
      <c r="Q101" s="5">
        <f t="shared" si="75"/>
        <v>0.80000000000000071</v>
      </c>
      <c r="R101" s="4">
        <f>E101-F101</f>
        <v>1.6500000000000004</v>
      </c>
      <c r="S101" s="5">
        <f t="shared" si="110"/>
        <v>6.2040000000000023E-4</v>
      </c>
      <c r="T101" s="5">
        <f t="shared" si="111"/>
        <v>8.8505646918961522E-5</v>
      </c>
      <c r="U101" s="3">
        <f>AVERAGE(G101:H101)</f>
        <v>19.700000000000003</v>
      </c>
      <c r="V101" s="5">
        <v>8.2873469387754872E-3</v>
      </c>
      <c r="AM101">
        <f t="shared" si="77"/>
        <v>3.5315329166666666E-4</v>
      </c>
      <c r="AN101">
        <f t="shared" ref="AN101:AO101" si="115">AM101*1000</f>
        <v>0.35315329166666665</v>
      </c>
      <c r="AO101">
        <f t="shared" si="115"/>
        <v>353.15329166666663</v>
      </c>
      <c r="AP101">
        <f t="shared" si="79"/>
        <v>5.8858881944444441</v>
      </c>
      <c r="AR101">
        <v>20</v>
      </c>
      <c r="AS101">
        <v>19.649999999999999</v>
      </c>
      <c r="AT101">
        <v>8.4756789999999999E-3</v>
      </c>
      <c r="AU101" t="s">
        <v>70</v>
      </c>
      <c r="AV101" t="s">
        <v>65</v>
      </c>
      <c r="AW101" t="s">
        <v>57</v>
      </c>
      <c r="AX101">
        <v>8</v>
      </c>
      <c r="AY101" t="s">
        <v>58</v>
      </c>
    </row>
    <row r="102" spans="1:51" x14ac:dyDescent="0.3">
      <c r="A102" s="1">
        <v>45050</v>
      </c>
      <c r="B102" s="2">
        <v>0.22291666666666665</v>
      </c>
      <c r="C102">
        <v>1</v>
      </c>
      <c r="D102" t="s">
        <v>31</v>
      </c>
      <c r="E102">
        <v>7.24</v>
      </c>
      <c r="F102">
        <v>5.68</v>
      </c>
      <c r="G102" s="3">
        <v>16.399999999999999</v>
      </c>
      <c r="H102" s="3">
        <v>16.600000000000001</v>
      </c>
      <c r="I102" s="2">
        <v>0.25833333333333336</v>
      </c>
      <c r="J102">
        <f>VLOOKUP(D102,Fish_Container_info!$A$2:$E$20,4)</f>
        <v>70.099999999999994</v>
      </c>
      <c r="K102">
        <f>VLOOKUP(D102,Fish_Container_info!$A$2:$D$20,2)</f>
        <v>15</v>
      </c>
      <c r="L102">
        <f>VLOOKUP(D102,Fish_Container_info!$A$2:$D$20,3)</f>
        <v>206</v>
      </c>
      <c r="M102">
        <f>VLOOKUP(C102,Fish_Container_info!$G$2:$H$45,2)</f>
        <v>582</v>
      </c>
      <c r="N102">
        <v>1</v>
      </c>
      <c r="O102" s="2">
        <f>I102-B102</f>
        <v>3.5416666666666707E-2</v>
      </c>
      <c r="P102" s="5">
        <f t="shared" si="109"/>
        <v>3.5416666666666707E-2</v>
      </c>
      <c r="Q102" s="5">
        <f t="shared" si="75"/>
        <v>0.20000000000000284</v>
      </c>
      <c r="R102" s="4">
        <f>E102-F102</f>
        <v>1.5600000000000005</v>
      </c>
      <c r="S102" s="5">
        <f t="shared" si="110"/>
        <v>9.0792000000000032E-4</v>
      </c>
      <c r="T102" s="5">
        <f t="shared" si="111"/>
        <v>1.2444363221016553E-4</v>
      </c>
      <c r="U102" s="3">
        <f>AVERAGE(G102:H102)</f>
        <v>16.5</v>
      </c>
      <c r="V102" s="5">
        <v>6.9284833068362422E-3</v>
      </c>
      <c r="AM102">
        <f t="shared" si="77"/>
        <v>3.4530612500000002E-4</v>
      </c>
      <c r="AN102">
        <f t="shared" ref="AN102:AO102" si="116">AM102*1000</f>
        <v>0.34530612500000002</v>
      </c>
      <c r="AO102">
        <f t="shared" si="116"/>
        <v>345.30612500000001</v>
      </c>
      <c r="AP102">
        <f t="shared" si="79"/>
        <v>5.7551020833333331</v>
      </c>
      <c r="AR102">
        <v>20</v>
      </c>
      <c r="AS102">
        <v>19.7</v>
      </c>
      <c r="AT102">
        <v>8.2873470000000005E-3</v>
      </c>
      <c r="AU102" t="s">
        <v>71</v>
      </c>
      <c r="AV102" t="s">
        <v>65</v>
      </c>
      <c r="AW102" t="s">
        <v>57</v>
      </c>
      <c r="AX102">
        <v>8</v>
      </c>
      <c r="AY102" t="s">
        <v>58</v>
      </c>
    </row>
    <row r="103" spans="1:51" x14ac:dyDescent="0.3">
      <c r="A103" s="1">
        <v>45050</v>
      </c>
      <c r="B103" s="2">
        <v>0.22500000000000001</v>
      </c>
      <c r="C103">
        <v>4</v>
      </c>
      <c r="D103" t="s">
        <v>32</v>
      </c>
      <c r="E103">
        <v>6.74</v>
      </c>
      <c r="F103">
        <v>4.6500000000000004</v>
      </c>
      <c r="G103" s="3">
        <v>16.5</v>
      </c>
      <c r="H103" s="3">
        <v>16.600000000000001</v>
      </c>
      <c r="I103" s="2">
        <v>0.26180555555555557</v>
      </c>
      <c r="J103" t="e">
        <f>VLOOKUP(D103,Fish_Container_info!$A$2:$E$20,4)</f>
        <v>#N/A</v>
      </c>
      <c r="K103" t="e">
        <f>VLOOKUP(D103,Fish_Container_info!$A$2:$D$20,2)</f>
        <v>#N/A</v>
      </c>
      <c r="L103" t="e">
        <f>VLOOKUP(D103,Fish_Container_info!$A$2:$D$20,3)</f>
        <v>#N/A</v>
      </c>
      <c r="M103">
        <f>VLOOKUP(C103,Fish_Container_info!$G$2:$H$45,2)</f>
        <v>362</v>
      </c>
      <c r="N103">
        <v>1</v>
      </c>
      <c r="O103" s="2">
        <f>I103-B103</f>
        <v>3.6805555555555564E-2</v>
      </c>
      <c r="P103" s="5">
        <f t="shared" si="109"/>
        <v>3.6805555555555564E-2</v>
      </c>
      <c r="Q103" s="5">
        <f t="shared" si="75"/>
        <v>0.10000000000000142</v>
      </c>
      <c r="R103" s="4">
        <f>E103-F103</f>
        <v>2.09</v>
      </c>
      <c r="S103" s="5">
        <f t="shared" si="110"/>
        <v>7.5657999999999997E-4</v>
      </c>
      <c r="T103" s="5" t="e">
        <f t="shared" si="111"/>
        <v>#N/A</v>
      </c>
      <c r="U103" s="3">
        <f>AVERAGE(G103:H103)</f>
        <v>16.55</v>
      </c>
      <c r="V103" s="5">
        <v>6.8520452830188663E-3</v>
      </c>
      <c r="AM103">
        <f t="shared" si="77"/>
        <v>2.8868679166666665E-4</v>
      </c>
      <c r="AN103">
        <f t="shared" ref="AN103:AO103" si="117">AM103*1000</f>
        <v>0.28868679166666666</v>
      </c>
      <c r="AO103">
        <f t="shared" si="117"/>
        <v>288.68679166666664</v>
      </c>
      <c r="AP103">
        <f t="shared" si="79"/>
        <v>4.8114465277777771</v>
      </c>
      <c r="AR103">
        <v>17</v>
      </c>
      <c r="AS103">
        <v>16.5</v>
      </c>
      <c r="AT103">
        <v>6.928483E-3</v>
      </c>
      <c r="AU103" t="s">
        <v>72</v>
      </c>
      <c r="AV103" t="s">
        <v>65</v>
      </c>
      <c r="AW103" t="s">
        <v>57</v>
      </c>
      <c r="AX103">
        <v>1</v>
      </c>
      <c r="AY103" t="s">
        <v>58</v>
      </c>
    </row>
    <row r="104" spans="1:51" x14ac:dyDescent="0.3">
      <c r="A104" s="1">
        <v>45050</v>
      </c>
      <c r="B104" s="2">
        <v>0.30972222222222223</v>
      </c>
      <c r="C104">
        <v>1</v>
      </c>
      <c r="D104" t="s">
        <v>31</v>
      </c>
      <c r="E104">
        <v>8.89</v>
      </c>
      <c r="F104">
        <v>7.06</v>
      </c>
      <c r="G104" s="3">
        <v>16.600000000000001</v>
      </c>
      <c r="H104" s="3">
        <v>16.899999999999999</v>
      </c>
      <c r="I104" s="2">
        <v>0.34652777777777777</v>
      </c>
      <c r="J104">
        <f>VLOOKUP(D104,Fish_Container_info!$A$2:$E$20,4)</f>
        <v>70.099999999999994</v>
      </c>
      <c r="K104">
        <f>VLOOKUP(D104,Fish_Container_info!$A$2:$D$20,2)</f>
        <v>15</v>
      </c>
      <c r="L104">
        <f>VLOOKUP(D104,Fish_Container_info!$A$2:$D$20,3)</f>
        <v>206</v>
      </c>
      <c r="M104">
        <f>VLOOKUP(C104,Fish_Container_info!$G$2:$H$45,2)</f>
        <v>582</v>
      </c>
      <c r="N104">
        <v>2</v>
      </c>
      <c r="O104" s="2">
        <f>I104-B104</f>
        <v>3.6805555555555536E-2</v>
      </c>
      <c r="P104" s="5">
        <f t="shared" si="109"/>
        <v>3.6805555555555536E-2</v>
      </c>
      <c r="Q104" s="5">
        <f t="shared" si="75"/>
        <v>0.29999999999999716</v>
      </c>
      <c r="R104" s="4">
        <f>E104-F104</f>
        <v>1.830000000000001</v>
      </c>
      <c r="S104" s="5">
        <f t="shared" si="110"/>
        <v>1.0650600000000005E-3</v>
      </c>
      <c r="T104" s="5">
        <f t="shared" si="111"/>
        <v>1.4047320021982063E-4</v>
      </c>
      <c r="U104" s="3">
        <f>AVERAGE(G104:H104)</f>
        <v>16.75</v>
      </c>
      <c r="V104" s="5">
        <v>7.820940336562986E-3</v>
      </c>
      <c r="AM104">
        <f t="shared" si="77"/>
        <v>2.8550187499999999E-4</v>
      </c>
      <c r="AN104">
        <f t="shared" ref="AN104:AO104" si="118">AM104*1000</f>
        <v>0.28550187500000002</v>
      </c>
      <c r="AO104">
        <f t="shared" si="118"/>
        <v>285.50187500000004</v>
      </c>
      <c r="AP104">
        <f t="shared" si="79"/>
        <v>4.7583645833333339</v>
      </c>
      <c r="AR104">
        <v>17</v>
      </c>
      <c r="AS104">
        <v>16.55</v>
      </c>
      <c r="AT104">
        <v>6.8520450000000002E-3</v>
      </c>
      <c r="AU104" t="s">
        <v>73</v>
      </c>
      <c r="AV104" t="s">
        <v>65</v>
      </c>
      <c r="AW104" t="s">
        <v>57</v>
      </c>
      <c r="AX104">
        <v>1</v>
      </c>
      <c r="AY104" t="s">
        <v>58</v>
      </c>
    </row>
    <row r="105" spans="1:51" x14ac:dyDescent="0.3">
      <c r="A105" s="1">
        <v>45050</v>
      </c>
      <c r="B105" s="2">
        <v>0.31111111111111112</v>
      </c>
      <c r="C105">
        <v>4</v>
      </c>
      <c r="D105" t="s">
        <v>32</v>
      </c>
      <c r="E105">
        <v>9.14</v>
      </c>
      <c r="F105">
        <v>6.65</v>
      </c>
      <c r="G105" s="3">
        <v>16.600000000000001</v>
      </c>
      <c r="H105" s="3">
        <v>16.899999999999999</v>
      </c>
      <c r="I105" s="2">
        <v>0.34930555555555554</v>
      </c>
      <c r="J105" t="e">
        <f>VLOOKUP(D105,Fish_Container_info!$A$2:$E$20,4)</f>
        <v>#N/A</v>
      </c>
      <c r="K105" t="e">
        <f>VLOOKUP(D105,Fish_Container_info!$A$2:$D$20,2)</f>
        <v>#N/A</v>
      </c>
      <c r="L105" t="e">
        <f>VLOOKUP(D105,Fish_Container_info!$A$2:$D$20,3)</f>
        <v>#N/A</v>
      </c>
      <c r="M105">
        <f>VLOOKUP(C105,Fish_Container_info!$G$2:$H$45,2)</f>
        <v>362</v>
      </c>
      <c r="N105">
        <v>2</v>
      </c>
      <c r="O105" s="2">
        <f>I105-B105</f>
        <v>3.819444444444442E-2</v>
      </c>
      <c r="P105" s="5">
        <f t="shared" si="109"/>
        <v>3.819444444444442E-2</v>
      </c>
      <c r="Q105" s="5">
        <f t="shared" si="75"/>
        <v>0.29999999999999716</v>
      </c>
      <c r="R105" s="4">
        <f>E105-F105</f>
        <v>2.4900000000000002</v>
      </c>
      <c r="S105" s="5">
        <f t="shared" si="110"/>
        <v>9.0138000000000002E-4</v>
      </c>
      <c r="T105" s="5" t="e">
        <f t="shared" si="111"/>
        <v>#N/A</v>
      </c>
      <c r="U105" s="3">
        <f>AVERAGE(G105:H105)</f>
        <v>16.75</v>
      </c>
      <c r="V105" s="5">
        <v>7.8665890909090964E-3</v>
      </c>
      <c r="AM105">
        <f t="shared" si="77"/>
        <v>3.2587250000000001E-4</v>
      </c>
      <c r="AN105">
        <f t="shared" ref="AN105:AO105" si="119">AM105*1000</f>
        <v>0.32587250000000001</v>
      </c>
      <c r="AO105">
        <f t="shared" si="119"/>
        <v>325.8725</v>
      </c>
      <c r="AP105">
        <f t="shared" si="79"/>
        <v>5.4312083333333332</v>
      </c>
      <c r="AR105">
        <v>17</v>
      </c>
      <c r="AS105">
        <v>16.75</v>
      </c>
      <c r="AT105">
        <v>7.8209400000000002E-3</v>
      </c>
      <c r="AU105" t="s">
        <v>72</v>
      </c>
      <c r="AV105" t="s">
        <v>65</v>
      </c>
      <c r="AW105" t="s">
        <v>57</v>
      </c>
      <c r="AX105">
        <v>2</v>
      </c>
      <c r="AY105" t="s">
        <v>58</v>
      </c>
    </row>
    <row r="106" spans="1:51" x14ac:dyDescent="0.3">
      <c r="A106" s="1">
        <v>45050</v>
      </c>
      <c r="B106" s="2">
        <v>0.3840277777777778</v>
      </c>
      <c r="C106">
        <v>1</v>
      </c>
      <c r="D106" t="s">
        <v>31</v>
      </c>
      <c r="E106">
        <v>8.91</v>
      </c>
      <c r="F106">
        <v>6.97</v>
      </c>
      <c r="G106" s="3">
        <v>17.100000000000001</v>
      </c>
      <c r="H106" s="3">
        <v>17.5</v>
      </c>
      <c r="I106" s="2">
        <v>0.42152777777777778</v>
      </c>
      <c r="J106">
        <f>VLOOKUP(D106,Fish_Container_info!$A$2:$E$20,4)</f>
        <v>70.099999999999994</v>
      </c>
      <c r="K106">
        <f>VLOOKUP(D106,Fish_Container_info!$A$2:$D$20,2)</f>
        <v>15</v>
      </c>
      <c r="L106">
        <f>VLOOKUP(D106,Fish_Container_info!$A$2:$D$20,3)</f>
        <v>206</v>
      </c>
      <c r="M106">
        <f>VLOOKUP(C106,Fish_Container_info!$G$2:$H$45,2)</f>
        <v>582</v>
      </c>
      <c r="N106">
        <v>3</v>
      </c>
      <c r="O106" s="2">
        <f>I106-B106</f>
        <v>3.7499999999999978E-2</v>
      </c>
      <c r="P106" s="5">
        <f t="shared" si="109"/>
        <v>3.7499999999999978E-2</v>
      </c>
      <c r="Q106" s="5">
        <f t="shared" si="75"/>
        <v>0.39999999999999858</v>
      </c>
      <c r="R106" s="4">
        <f>E106-F106</f>
        <v>1.9400000000000004</v>
      </c>
      <c r="S106" s="5">
        <f t="shared" si="110"/>
        <v>1.1290800000000002E-3</v>
      </c>
      <c r="T106" s="5">
        <f t="shared" si="111"/>
        <v>1.4615922330097098E-4</v>
      </c>
      <c r="U106" s="3">
        <f>AVERAGE(G106:H106)</f>
        <v>17.3</v>
      </c>
      <c r="V106" s="5">
        <v>8.1375135135135206E-3</v>
      </c>
      <c r="AM106">
        <f t="shared" si="77"/>
        <v>3.2777454166666668E-4</v>
      </c>
      <c r="AN106">
        <f t="shared" ref="AN106:AO106" si="120">AM106*1000</f>
        <v>0.3277745416666667</v>
      </c>
      <c r="AO106">
        <f t="shared" si="120"/>
        <v>327.77454166666672</v>
      </c>
      <c r="AP106">
        <f t="shared" si="79"/>
        <v>5.462909027777779</v>
      </c>
      <c r="AR106">
        <v>17</v>
      </c>
      <c r="AS106">
        <v>16.75</v>
      </c>
      <c r="AT106">
        <v>7.8665890000000002E-3</v>
      </c>
      <c r="AU106" t="s">
        <v>73</v>
      </c>
      <c r="AV106" t="s">
        <v>65</v>
      </c>
      <c r="AW106" t="s">
        <v>57</v>
      </c>
      <c r="AX106">
        <v>2</v>
      </c>
      <c r="AY106" t="s">
        <v>58</v>
      </c>
    </row>
    <row r="107" spans="1:51" x14ac:dyDescent="0.3">
      <c r="A107" s="1">
        <v>45050</v>
      </c>
      <c r="B107" s="2">
        <v>0.38541666666666669</v>
      </c>
      <c r="C107">
        <v>4</v>
      </c>
      <c r="D107" t="s">
        <v>32</v>
      </c>
      <c r="E107">
        <v>9.0500000000000007</v>
      </c>
      <c r="F107">
        <v>6.65</v>
      </c>
      <c r="G107" s="3">
        <v>17.100000000000001</v>
      </c>
      <c r="H107" s="3">
        <v>17.7</v>
      </c>
      <c r="I107" s="2">
        <v>0.4236111111111111</v>
      </c>
      <c r="J107" t="e">
        <f>VLOOKUP(D107,Fish_Container_info!$A$2:$E$20,4)</f>
        <v>#N/A</v>
      </c>
      <c r="K107" t="e">
        <f>VLOOKUP(D107,Fish_Container_info!$A$2:$D$20,2)</f>
        <v>#N/A</v>
      </c>
      <c r="L107" t="e">
        <f>VLOOKUP(D107,Fish_Container_info!$A$2:$D$20,3)</f>
        <v>#N/A</v>
      </c>
      <c r="M107">
        <f>VLOOKUP(C107,Fish_Container_info!$G$2:$H$45,2)</f>
        <v>362</v>
      </c>
      <c r="N107">
        <v>3</v>
      </c>
      <c r="O107" s="2">
        <f>I107-B107</f>
        <v>3.819444444444442E-2</v>
      </c>
      <c r="P107" s="5">
        <f t="shared" si="109"/>
        <v>3.819444444444442E-2</v>
      </c>
      <c r="Q107" s="5">
        <f t="shared" si="75"/>
        <v>0.59999999999999787</v>
      </c>
      <c r="R107" s="4">
        <f>E107-F107</f>
        <v>2.4000000000000004</v>
      </c>
      <c r="S107" s="5">
        <f t="shared" si="110"/>
        <v>8.6880000000000008E-4</v>
      </c>
      <c r="T107" s="5" t="e">
        <f t="shared" si="111"/>
        <v>#N/A</v>
      </c>
      <c r="U107" s="3">
        <f>AVERAGE(G107:H107)</f>
        <v>17.399999999999999</v>
      </c>
      <c r="V107" s="5">
        <v>7.5822545454545514E-3</v>
      </c>
      <c r="AM107">
        <f t="shared" si="77"/>
        <v>3.3906308333333336E-4</v>
      </c>
      <c r="AN107">
        <f t="shared" ref="AN107:AO107" si="121">AM107*1000</f>
        <v>0.33906308333333335</v>
      </c>
      <c r="AO107">
        <f t="shared" si="121"/>
        <v>339.06308333333334</v>
      </c>
      <c r="AP107">
        <f t="shared" si="79"/>
        <v>5.6510513888888889</v>
      </c>
      <c r="AR107">
        <v>17</v>
      </c>
      <c r="AS107">
        <v>17.3</v>
      </c>
      <c r="AT107">
        <v>8.1375140000000002E-3</v>
      </c>
      <c r="AU107" t="s">
        <v>72</v>
      </c>
      <c r="AV107" t="s">
        <v>65</v>
      </c>
      <c r="AW107" t="s">
        <v>57</v>
      </c>
      <c r="AX107">
        <v>3</v>
      </c>
      <c r="AY107" t="s">
        <v>58</v>
      </c>
    </row>
    <row r="108" spans="1:51" x14ac:dyDescent="0.3">
      <c r="A108" s="1">
        <v>45050</v>
      </c>
      <c r="B108" s="2">
        <v>0.4604166666666667</v>
      </c>
      <c r="C108">
        <v>1</v>
      </c>
      <c r="D108" t="s">
        <v>31</v>
      </c>
      <c r="E108">
        <v>8.69</v>
      </c>
      <c r="F108">
        <v>7.2</v>
      </c>
      <c r="G108" s="3">
        <v>18.899999999999999</v>
      </c>
      <c r="H108" s="3">
        <v>19.399999999999999</v>
      </c>
      <c r="I108" s="2">
        <v>0.48680555555555555</v>
      </c>
      <c r="J108">
        <f>VLOOKUP(D108,Fish_Container_info!$A$2:$E$20,4)</f>
        <v>70.099999999999994</v>
      </c>
      <c r="K108">
        <f>VLOOKUP(D108,Fish_Container_info!$A$2:$D$20,2)</f>
        <v>15</v>
      </c>
      <c r="L108">
        <f>VLOOKUP(D108,Fish_Container_info!$A$2:$D$20,3)</f>
        <v>206</v>
      </c>
      <c r="M108">
        <f>VLOOKUP(C108,Fish_Container_info!$G$2:$H$45,2)</f>
        <v>582</v>
      </c>
      <c r="N108">
        <v>4</v>
      </c>
      <c r="O108" s="2">
        <f>I108-B108</f>
        <v>2.6388888888888851E-2</v>
      </c>
      <c r="P108" s="5">
        <f t="shared" si="109"/>
        <v>2.6388888888888851E-2</v>
      </c>
      <c r="Q108" s="5">
        <f t="shared" si="75"/>
        <v>0.5</v>
      </c>
      <c r="R108" s="4">
        <f>E108-F108</f>
        <v>1.4899999999999993</v>
      </c>
      <c r="S108" s="5">
        <f t="shared" si="110"/>
        <v>8.6717999999999951E-4</v>
      </c>
      <c r="T108" s="5">
        <f t="shared" si="111"/>
        <v>1.5952212570260617E-4</v>
      </c>
      <c r="U108" s="3">
        <f>AVERAGE(G108:H108)</f>
        <v>19.149999999999999</v>
      </c>
      <c r="V108" s="5">
        <v>8.8815021337126671E-3</v>
      </c>
      <c r="AM108">
        <f t="shared" si="77"/>
        <v>3.159272916666667E-4</v>
      </c>
      <c r="AN108">
        <f t="shared" ref="AN108:AO108" si="122">AM108*1000</f>
        <v>0.31592729166666672</v>
      </c>
      <c r="AO108">
        <f t="shared" si="122"/>
        <v>315.92729166666675</v>
      </c>
      <c r="AP108">
        <f t="shared" si="79"/>
        <v>5.2654548611111123</v>
      </c>
      <c r="AR108">
        <v>17</v>
      </c>
      <c r="AS108">
        <v>17.399999999999999</v>
      </c>
      <c r="AT108">
        <v>7.5822550000000004E-3</v>
      </c>
      <c r="AU108" t="s">
        <v>73</v>
      </c>
      <c r="AV108" t="s">
        <v>65</v>
      </c>
      <c r="AW108" t="s">
        <v>57</v>
      </c>
      <c r="AX108">
        <v>3</v>
      </c>
      <c r="AY108" t="s">
        <v>58</v>
      </c>
    </row>
    <row r="109" spans="1:51" x14ac:dyDescent="0.3">
      <c r="A109" s="1">
        <v>45050</v>
      </c>
      <c r="B109" s="2">
        <v>0.46111111111111108</v>
      </c>
      <c r="C109">
        <v>4</v>
      </c>
      <c r="D109" t="s">
        <v>32</v>
      </c>
      <c r="E109">
        <v>8.8800000000000008</v>
      </c>
      <c r="F109">
        <v>7.13</v>
      </c>
      <c r="G109" s="3">
        <v>19</v>
      </c>
      <c r="H109" s="3">
        <v>19.5</v>
      </c>
      <c r="I109" s="2">
        <v>0.48819444444444443</v>
      </c>
      <c r="J109" t="e">
        <f>VLOOKUP(D109,Fish_Container_info!$A$2:$E$20,4)</f>
        <v>#N/A</v>
      </c>
      <c r="K109" t="e">
        <f>VLOOKUP(D109,Fish_Container_info!$A$2:$D$20,2)</f>
        <v>#N/A</v>
      </c>
      <c r="L109" t="e">
        <f>VLOOKUP(D109,Fish_Container_info!$A$2:$D$20,3)</f>
        <v>#N/A</v>
      </c>
      <c r="M109">
        <f>VLOOKUP(C109,Fish_Container_info!$G$2:$H$45,2)</f>
        <v>362</v>
      </c>
      <c r="N109">
        <v>4</v>
      </c>
      <c r="O109" s="2">
        <f>I109-B109</f>
        <v>2.7083333333333348E-2</v>
      </c>
      <c r="P109" s="5">
        <f t="shared" si="109"/>
        <v>2.7083333333333348E-2</v>
      </c>
      <c r="Q109" s="5">
        <f t="shared" si="75"/>
        <v>0.5</v>
      </c>
      <c r="R109" s="4">
        <f>E109-F109</f>
        <v>1.7500000000000009</v>
      </c>
      <c r="S109" s="5">
        <f t="shared" si="110"/>
        <v>6.3350000000000027E-4</v>
      </c>
      <c r="T109" s="5" t="e">
        <f t="shared" si="111"/>
        <v>#N/A</v>
      </c>
      <c r="U109" s="3">
        <f>AVERAGE(G109:H109)</f>
        <v>19.25</v>
      </c>
      <c r="V109" s="5">
        <v>7.7969230769230763E-3</v>
      </c>
      <c r="AM109">
        <f t="shared" si="77"/>
        <v>3.7006258333333329E-4</v>
      </c>
      <c r="AN109">
        <f t="shared" ref="AN109:AO109" si="123">AM109*1000</f>
        <v>0.37006258333333331</v>
      </c>
      <c r="AO109">
        <f t="shared" si="123"/>
        <v>370.06258333333329</v>
      </c>
      <c r="AP109">
        <f t="shared" si="79"/>
        <v>6.1677097222222219</v>
      </c>
      <c r="AR109">
        <v>19</v>
      </c>
      <c r="AS109">
        <v>19.149999999999999</v>
      </c>
      <c r="AT109">
        <v>8.8815019999999995E-3</v>
      </c>
      <c r="AU109" t="s">
        <v>72</v>
      </c>
      <c r="AV109" t="s">
        <v>65</v>
      </c>
      <c r="AW109" t="s">
        <v>57</v>
      </c>
      <c r="AX109">
        <v>4</v>
      </c>
      <c r="AY109" t="s">
        <v>58</v>
      </c>
    </row>
    <row r="110" spans="1:51" x14ac:dyDescent="0.3">
      <c r="A110" s="1">
        <v>45050</v>
      </c>
      <c r="B110" s="2">
        <v>0.66875000000000007</v>
      </c>
      <c r="C110">
        <v>1</v>
      </c>
      <c r="D110" t="s">
        <v>31</v>
      </c>
      <c r="E110">
        <v>8.5500000000000007</v>
      </c>
      <c r="F110">
        <v>6.94</v>
      </c>
      <c r="G110" s="3">
        <v>18.8</v>
      </c>
      <c r="H110" s="3">
        <v>18.7</v>
      </c>
      <c r="I110" s="2">
        <v>0.70277777777777783</v>
      </c>
      <c r="J110">
        <f>VLOOKUP(D110,Fish_Container_info!$A$2:$E$20,4)</f>
        <v>70.099999999999994</v>
      </c>
      <c r="K110">
        <f>VLOOKUP(D110,Fish_Container_info!$A$2:$D$20,2)</f>
        <v>15</v>
      </c>
      <c r="L110">
        <f>VLOOKUP(D110,Fish_Container_info!$A$2:$D$20,3)</f>
        <v>206</v>
      </c>
      <c r="M110">
        <f>VLOOKUP(C110,Fish_Container_info!$G$2:$H$45,2)</f>
        <v>582</v>
      </c>
      <c r="N110">
        <v>5</v>
      </c>
      <c r="O110" s="2">
        <f>I110-B110</f>
        <v>3.4027777777777768E-2</v>
      </c>
      <c r="P110" s="5">
        <f t="shared" si="109"/>
        <v>3.4027777777777768E-2</v>
      </c>
      <c r="Q110" s="5">
        <f t="shared" si="75"/>
        <v>-0.10000000000000142</v>
      </c>
      <c r="R110" s="4">
        <f>E110-F110</f>
        <v>1.6100000000000003</v>
      </c>
      <c r="S110" s="5">
        <f t="shared" si="110"/>
        <v>9.3702000000000011E-4</v>
      </c>
      <c r="T110" s="5">
        <f t="shared" si="111"/>
        <v>1.3367434119278786E-4</v>
      </c>
      <c r="U110" s="3">
        <f>AVERAGE(G110:H110)</f>
        <v>18.75</v>
      </c>
      <c r="V110" s="5">
        <v>7.4424092664092684E-3</v>
      </c>
      <c r="AM110">
        <f t="shared" si="77"/>
        <v>3.2487179166666664E-4</v>
      </c>
      <c r="AN110">
        <f t="shared" ref="AN110:AO110" si="124">AM110*1000</f>
        <v>0.32487179166666663</v>
      </c>
      <c r="AO110">
        <f t="shared" si="124"/>
        <v>324.87179166666664</v>
      </c>
      <c r="AP110">
        <f t="shared" si="79"/>
        <v>5.4145298611111103</v>
      </c>
      <c r="AR110">
        <v>19</v>
      </c>
      <c r="AS110">
        <v>19.25</v>
      </c>
      <c r="AT110">
        <v>7.7969229999999999E-3</v>
      </c>
      <c r="AU110" t="s">
        <v>73</v>
      </c>
      <c r="AV110" t="s">
        <v>65</v>
      </c>
      <c r="AW110" t="s">
        <v>57</v>
      </c>
      <c r="AX110">
        <v>4</v>
      </c>
      <c r="AY110" t="s">
        <v>58</v>
      </c>
    </row>
    <row r="111" spans="1:51" x14ac:dyDescent="0.3">
      <c r="A111" s="1">
        <v>45050</v>
      </c>
      <c r="B111" s="2">
        <v>0.6694444444444444</v>
      </c>
      <c r="C111">
        <v>4</v>
      </c>
      <c r="D111" t="s">
        <v>32</v>
      </c>
      <c r="E111">
        <v>8.81</v>
      </c>
      <c r="F111">
        <v>6.5</v>
      </c>
      <c r="G111" s="3">
        <v>18.7</v>
      </c>
      <c r="H111" s="3">
        <v>18.7</v>
      </c>
      <c r="I111" s="2">
        <v>0.70486111111111116</v>
      </c>
      <c r="J111" t="e">
        <f>VLOOKUP(D111,Fish_Container_info!$A$2:$E$20,4)</f>
        <v>#N/A</v>
      </c>
      <c r="K111" t="e">
        <f>VLOOKUP(D111,Fish_Container_info!$A$2:$D$20,2)</f>
        <v>#N/A</v>
      </c>
      <c r="L111" t="e">
        <f>VLOOKUP(D111,Fish_Container_info!$A$2:$D$20,3)</f>
        <v>#N/A</v>
      </c>
      <c r="M111">
        <f>VLOOKUP(C111,Fish_Container_info!$G$2:$H$45,2)</f>
        <v>362</v>
      </c>
      <c r="N111">
        <v>5</v>
      </c>
      <c r="O111" s="2">
        <f>I111-B111</f>
        <v>3.5416666666666763E-2</v>
      </c>
      <c r="P111" s="5">
        <f t="shared" si="109"/>
        <v>3.5416666666666763E-2</v>
      </c>
      <c r="Q111" s="5">
        <f t="shared" si="75"/>
        <v>0</v>
      </c>
      <c r="R111" s="4">
        <f>E111-F111</f>
        <v>2.3100000000000005</v>
      </c>
      <c r="S111" s="5">
        <f t="shared" si="110"/>
        <v>8.3622000000000015E-4</v>
      </c>
      <c r="T111" s="5" t="e">
        <f t="shared" si="111"/>
        <v>#N/A</v>
      </c>
      <c r="U111" s="3">
        <f>AVERAGE(G111:H111)</f>
        <v>18.7</v>
      </c>
      <c r="V111" s="5">
        <v>7.8703058823529209E-3</v>
      </c>
      <c r="AM111">
        <f t="shared" si="77"/>
        <v>3.1010037499999997E-4</v>
      </c>
      <c r="AN111">
        <f t="shared" ref="AN111:AO111" si="125">AM111*1000</f>
        <v>0.31010037499999998</v>
      </c>
      <c r="AO111">
        <f t="shared" si="125"/>
        <v>310.10037499999999</v>
      </c>
      <c r="AP111">
        <f t="shared" si="79"/>
        <v>5.1683395833333332</v>
      </c>
      <c r="AR111">
        <v>19</v>
      </c>
      <c r="AS111">
        <v>18.75</v>
      </c>
      <c r="AT111">
        <v>7.4424089999999997E-3</v>
      </c>
      <c r="AU111" t="s">
        <v>72</v>
      </c>
      <c r="AV111" t="s">
        <v>65</v>
      </c>
      <c r="AW111" t="s">
        <v>57</v>
      </c>
      <c r="AX111">
        <v>5</v>
      </c>
      <c r="AY111" t="s">
        <v>58</v>
      </c>
    </row>
    <row r="112" spans="1:51" x14ac:dyDescent="0.3">
      <c r="A112" s="1">
        <v>45048</v>
      </c>
      <c r="B112" s="2">
        <v>0.33124999999999999</v>
      </c>
      <c r="C112">
        <v>8</v>
      </c>
      <c r="D112" t="s">
        <v>24</v>
      </c>
      <c r="E112">
        <v>9.1</v>
      </c>
      <c r="F112">
        <v>7.9</v>
      </c>
      <c r="G112" s="3">
        <v>10.6</v>
      </c>
      <c r="H112" s="3">
        <v>10.8</v>
      </c>
      <c r="I112" s="2">
        <v>0.37916666666666665</v>
      </c>
      <c r="J112" t="e">
        <f>VLOOKUP(D112,Fish_Container_info!$A$2:$E$20,4)</f>
        <v>#N/A</v>
      </c>
      <c r="K112" t="e">
        <f>VLOOKUP(D112,Fish_Container_info!$A$2:$D$20,2)</f>
        <v>#N/A</v>
      </c>
      <c r="L112" t="e">
        <f>VLOOKUP(D112,Fish_Container_info!$A$2:$D$20,3)</f>
        <v>#N/A</v>
      </c>
      <c r="M112">
        <f>VLOOKUP(C112,Fish_Container_info!$G$2:$H$45,2)</f>
        <v>3690</v>
      </c>
      <c r="N112">
        <v>1</v>
      </c>
      <c r="O112" s="2">
        <f>I112-B112</f>
        <v>4.7916666666666663E-2</v>
      </c>
      <c r="P112" s="5">
        <f t="shared" si="109"/>
        <v>4.791666666666667E-2</v>
      </c>
      <c r="Q112" s="5">
        <f t="shared" si="75"/>
        <v>0.20000000000000107</v>
      </c>
      <c r="R112" s="4">
        <f>E112-F112</f>
        <v>1.1999999999999993</v>
      </c>
      <c r="S112" s="5">
        <f t="shared" si="110"/>
        <v>4.427999999999997E-3</v>
      </c>
      <c r="T112" s="5" t="e">
        <f t="shared" si="111"/>
        <v>#N/A</v>
      </c>
      <c r="U112" s="3">
        <f>AVERAGE(G112:H112)</f>
        <v>10.7</v>
      </c>
      <c r="V112" s="5">
        <v>2.1540893888719959E-3</v>
      </c>
      <c r="AM112">
        <f t="shared" si="77"/>
        <v>3.2792941666666669E-4</v>
      </c>
      <c r="AN112">
        <f t="shared" ref="AN112:AO112" si="126">AM112*1000</f>
        <v>0.3279294166666667</v>
      </c>
      <c r="AO112">
        <f t="shared" si="126"/>
        <v>327.92941666666667</v>
      </c>
      <c r="AP112">
        <f t="shared" si="79"/>
        <v>5.4654902777777776</v>
      </c>
      <c r="AR112">
        <v>19</v>
      </c>
      <c r="AS112">
        <v>18.7</v>
      </c>
      <c r="AT112">
        <v>7.8703060000000005E-3</v>
      </c>
      <c r="AU112" t="s">
        <v>73</v>
      </c>
      <c r="AV112" t="s">
        <v>65</v>
      </c>
      <c r="AW112" t="s">
        <v>57</v>
      </c>
      <c r="AX112">
        <v>5</v>
      </c>
      <c r="AY112" t="s">
        <v>58</v>
      </c>
    </row>
    <row r="113" spans="1:22" x14ac:dyDescent="0.3">
      <c r="A113" s="1">
        <v>45048</v>
      </c>
      <c r="B113" s="2">
        <v>0.40347222222222223</v>
      </c>
      <c r="C113">
        <v>8</v>
      </c>
      <c r="D113" t="s">
        <v>24</v>
      </c>
      <c r="E113">
        <v>8.83</v>
      </c>
      <c r="F113">
        <v>7.63</v>
      </c>
      <c r="G113" s="3">
        <v>11.3</v>
      </c>
      <c r="H113" s="3">
        <v>12</v>
      </c>
      <c r="I113" s="2">
        <v>0.44236111111111115</v>
      </c>
      <c r="J113" t="e">
        <f>VLOOKUP(D113,Fish_Container_info!$A$2:$E$20,4)</f>
        <v>#N/A</v>
      </c>
      <c r="K113" t="e">
        <f>VLOOKUP(D113,Fish_Container_info!$A$2:$D$20,2)</f>
        <v>#N/A</v>
      </c>
      <c r="L113" t="e">
        <f>VLOOKUP(D113,Fish_Container_info!$A$2:$D$20,3)</f>
        <v>#N/A</v>
      </c>
      <c r="M113">
        <f>VLOOKUP(C113,Fish_Container_info!$G$2:$H$45,2)</f>
        <v>3690</v>
      </c>
      <c r="N113">
        <v>2</v>
      </c>
      <c r="O113" s="2">
        <f>I113-B113</f>
        <v>3.8888888888888917E-2</v>
      </c>
      <c r="P113" s="5">
        <f t="shared" si="109"/>
        <v>3.8888888888888917E-2</v>
      </c>
      <c r="Q113" s="5">
        <f t="shared" si="75"/>
        <v>0.69999999999999929</v>
      </c>
      <c r="R113" s="4">
        <f>E113-F113</f>
        <v>1.2000000000000002</v>
      </c>
      <c r="S113" s="5">
        <f t="shared" si="110"/>
        <v>4.4280000000000005E-3</v>
      </c>
      <c r="T113" s="5" t="e">
        <f t="shared" si="111"/>
        <v>#N/A</v>
      </c>
      <c r="U113" s="3">
        <f>AVERAGE(G113:H113)</f>
        <v>11.65</v>
      </c>
      <c r="V113" s="5">
        <v>2.6541458541458523E-3</v>
      </c>
    </row>
    <row r="114" spans="1:22" x14ac:dyDescent="0.3">
      <c r="A114" s="1">
        <v>45048</v>
      </c>
      <c r="B114" s="2">
        <v>0.47291666666666665</v>
      </c>
      <c r="C114">
        <v>8</v>
      </c>
      <c r="D114" t="s">
        <v>24</v>
      </c>
      <c r="E114">
        <v>8.23</v>
      </c>
      <c r="F114">
        <v>6.88</v>
      </c>
      <c r="G114" s="3">
        <v>12.7</v>
      </c>
      <c r="H114" s="3">
        <v>13.8</v>
      </c>
      <c r="I114" s="2">
        <v>0.51527777777777783</v>
      </c>
      <c r="J114" t="e">
        <f>VLOOKUP(D114,Fish_Container_info!$A$2:$E$20,4)</f>
        <v>#N/A</v>
      </c>
      <c r="K114" t="e">
        <f>VLOOKUP(D114,Fish_Container_info!$A$2:$D$20,2)</f>
        <v>#N/A</v>
      </c>
      <c r="L114" t="e">
        <f>VLOOKUP(D114,Fish_Container_info!$A$2:$D$20,3)</f>
        <v>#N/A</v>
      </c>
      <c r="M114">
        <f>VLOOKUP(C114,Fish_Container_info!$G$2:$H$45,2)</f>
        <v>3690</v>
      </c>
      <c r="N114">
        <v>3</v>
      </c>
      <c r="O114" s="2">
        <f>I114-B114</f>
        <v>4.2361111111111183E-2</v>
      </c>
      <c r="P114" s="5">
        <f t="shared" si="109"/>
        <v>4.2361111111111183E-2</v>
      </c>
      <c r="Q114" s="5">
        <f t="shared" si="75"/>
        <v>1.1000000000000014</v>
      </c>
      <c r="R114" s="4">
        <f>E114-F114</f>
        <v>1.3500000000000005</v>
      </c>
      <c r="S114" s="5">
        <f t="shared" si="110"/>
        <v>4.9815000000000024E-3</v>
      </c>
      <c r="T114" s="5" t="e">
        <f t="shared" si="111"/>
        <v>#N/A</v>
      </c>
      <c r="U114" s="3">
        <f>AVERAGE(G114:H114)</f>
        <v>13.25</v>
      </c>
      <c r="V114" s="5">
        <v>2.7411670296916164E-3</v>
      </c>
    </row>
    <row r="115" spans="1:22" x14ac:dyDescent="0.3">
      <c r="A115" s="1">
        <v>45048</v>
      </c>
      <c r="B115" s="2">
        <v>0.55694444444444446</v>
      </c>
      <c r="C115">
        <v>8</v>
      </c>
      <c r="D115" t="s">
        <v>24</v>
      </c>
      <c r="E115">
        <v>8.4499999999999993</v>
      </c>
      <c r="F115">
        <v>6.74</v>
      </c>
      <c r="G115" s="3">
        <v>15.6</v>
      </c>
      <c r="H115" s="3">
        <v>16.5</v>
      </c>
      <c r="I115" s="2">
        <v>0.58888888888888891</v>
      </c>
      <c r="J115" t="e">
        <f>VLOOKUP(D115,Fish_Container_info!$A$2:$E$20,4)</f>
        <v>#N/A</v>
      </c>
      <c r="K115" t="e">
        <f>VLOOKUP(D115,Fish_Container_info!$A$2:$D$20,2)</f>
        <v>#N/A</v>
      </c>
      <c r="L115" t="e">
        <f>VLOOKUP(D115,Fish_Container_info!$A$2:$D$20,3)</f>
        <v>#N/A</v>
      </c>
      <c r="M115">
        <f>VLOOKUP(C115,Fish_Container_info!$G$2:$H$45,2)</f>
        <v>3690</v>
      </c>
      <c r="N115">
        <v>4</v>
      </c>
      <c r="O115" s="2">
        <f>I115-B115</f>
        <v>3.1944444444444442E-2</v>
      </c>
      <c r="P115" s="5">
        <f t="shared" si="109"/>
        <v>3.1944444444444442E-2</v>
      </c>
      <c r="Q115" s="5">
        <f t="shared" si="75"/>
        <v>0.90000000000000036</v>
      </c>
      <c r="R115" s="4">
        <f>E115-F115</f>
        <v>1.7099999999999991</v>
      </c>
      <c r="S115" s="5">
        <f t="shared" si="110"/>
        <v>6.3098999999999959E-3</v>
      </c>
      <c r="T115" s="5" t="e">
        <f t="shared" si="111"/>
        <v>#N/A</v>
      </c>
      <c r="U115" s="3">
        <f>AVERAGE(G115:H115)</f>
        <v>16.05</v>
      </c>
      <c r="V115" s="5">
        <v>4.6043660687138926E-3</v>
      </c>
    </row>
    <row r="116" spans="1:22" x14ac:dyDescent="0.3">
      <c r="A116" s="1">
        <v>45048</v>
      </c>
      <c r="B116" s="2">
        <v>0.62291666666666667</v>
      </c>
      <c r="C116">
        <v>8</v>
      </c>
      <c r="D116" t="s">
        <v>24</v>
      </c>
      <c r="E116">
        <v>6.48</v>
      </c>
      <c r="F116">
        <v>5.43</v>
      </c>
      <c r="G116" s="3">
        <v>17.7</v>
      </c>
      <c r="H116" s="3">
        <v>18.399999999999999</v>
      </c>
      <c r="I116" s="2">
        <v>0.64722222222222225</v>
      </c>
      <c r="J116" t="e">
        <f>VLOOKUP(D116,Fish_Container_info!$A$2:$E$20,4)</f>
        <v>#N/A</v>
      </c>
      <c r="K116" t="e">
        <f>VLOOKUP(D116,Fish_Container_info!$A$2:$D$20,2)</f>
        <v>#N/A</v>
      </c>
      <c r="L116" t="e">
        <f>VLOOKUP(D116,Fish_Container_info!$A$2:$D$20,3)</f>
        <v>#N/A</v>
      </c>
      <c r="M116">
        <f>VLOOKUP(C116,Fish_Container_info!$G$2:$H$45,2)</f>
        <v>3690</v>
      </c>
      <c r="N116">
        <v>5</v>
      </c>
      <c r="O116" s="2">
        <f>I116-B116</f>
        <v>2.430555555555558E-2</v>
      </c>
      <c r="P116" s="5">
        <f t="shared" si="109"/>
        <v>2.430555555555558E-2</v>
      </c>
      <c r="Q116" s="5">
        <f t="shared" si="75"/>
        <v>0.69999999999999929</v>
      </c>
      <c r="R116" s="4">
        <f>E116-F116</f>
        <v>1.0500000000000007</v>
      </c>
      <c r="S116" s="5">
        <f t="shared" si="110"/>
        <v>3.8745000000000025E-3</v>
      </c>
      <c r="T116" s="5" t="e">
        <f t="shared" si="111"/>
        <v>#N/A</v>
      </c>
      <c r="U116" s="3">
        <f>AVERAGE(G116:H116)</f>
        <v>18.049999999999997</v>
      </c>
      <c r="V116" s="5">
        <v>3.7158041958041945E-3</v>
      </c>
    </row>
    <row r="117" spans="1:22" x14ac:dyDescent="0.3">
      <c r="A117" s="1">
        <v>45048</v>
      </c>
      <c r="B117" s="2">
        <v>0.69444444444444453</v>
      </c>
      <c r="C117">
        <v>8</v>
      </c>
      <c r="D117" t="s">
        <v>24</v>
      </c>
      <c r="E117">
        <v>6.07</v>
      </c>
      <c r="F117">
        <v>5.08</v>
      </c>
      <c r="G117" s="3">
        <v>19.3</v>
      </c>
      <c r="H117" s="3">
        <v>19.399999999999999</v>
      </c>
      <c r="I117" s="2">
        <v>0.70972222222222225</v>
      </c>
      <c r="J117" t="e">
        <f>VLOOKUP(D117,Fish_Container_info!$A$2:$E$20,4)</f>
        <v>#N/A</v>
      </c>
      <c r="K117" t="e">
        <f>VLOOKUP(D117,Fish_Container_info!$A$2:$D$20,2)</f>
        <v>#N/A</v>
      </c>
      <c r="L117" t="e">
        <f>VLOOKUP(D117,Fish_Container_info!$A$2:$D$20,3)</f>
        <v>#N/A</v>
      </c>
      <c r="M117">
        <f>VLOOKUP(C117,Fish_Container_info!$G$2:$H$45,2)</f>
        <v>3690</v>
      </c>
      <c r="N117">
        <v>6</v>
      </c>
      <c r="O117" s="2">
        <f>I117-B117</f>
        <v>1.5277777777777724E-2</v>
      </c>
      <c r="P117" s="5">
        <f t="shared" si="109"/>
        <v>1.5277777777777724E-2</v>
      </c>
      <c r="Q117" s="5">
        <f t="shared" si="75"/>
        <v>9.9999999999997868E-2</v>
      </c>
      <c r="R117" s="4">
        <f>E117-F117</f>
        <v>0.99000000000000021</v>
      </c>
      <c r="S117" s="5">
        <f t="shared" si="110"/>
        <v>3.6531000000000007E-3</v>
      </c>
      <c r="T117" s="5" t="e">
        <f t="shared" si="111"/>
        <v>#N/A</v>
      </c>
      <c r="U117" s="3">
        <f>AVERAGE(G117:H117)</f>
        <v>19.350000000000001</v>
      </c>
      <c r="V117" s="5">
        <v>5.5737062937063148E-3</v>
      </c>
    </row>
    <row r="118" spans="1:22" x14ac:dyDescent="0.3">
      <c r="A118" s="1">
        <v>45048</v>
      </c>
      <c r="B118" s="2">
        <v>0.75555555555555554</v>
      </c>
      <c r="C118">
        <v>8</v>
      </c>
      <c r="D118" t="s">
        <v>24</v>
      </c>
      <c r="E118">
        <v>6.78</v>
      </c>
      <c r="F118">
        <v>5.03</v>
      </c>
      <c r="G118" s="3">
        <v>19.5</v>
      </c>
      <c r="H118" s="3">
        <v>19.399999999999999</v>
      </c>
      <c r="I118" s="2">
        <v>0.78611111111111109</v>
      </c>
      <c r="J118" t="e">
        <f>VLOOKUP(D118,Fish_Container_info!$A$2:$E$20,4)</f>
        <v>#N/A</v>
      </c>
      <c r="K118" t="e">
        <f>VLOOKUP(D118,Fish_Container_info!$A$2:$D$20,2)</f>
        <v>#N/A</v>
      </c>
      <c r="L118" t="e">
        <f>VLOOKUP(D118,Fish_Container_info!$A$2:$D$20,3)</f>
        <v>#N/A</v>
      </c>
      <c r="M118">
        <f>VLOOKUP(C118,Fish_Container_info!$G$2:$H$45,2)</f>
        <v>3690</v>
      </c>
      <c r="N118">
        <v>7</v>
      </c>
      <c r="O118" s="2">
        <f>I118-B118</f>
        <v>3.0555555555555558E-2</v>
      </c>
      <c r="P118" s="5">
        <f t="shared" si="109"/>
        <v>3.0555555555555555E-2</v>
      </c>
      <c r="Q118" s="5">
        <f t="shared" si="75"/>
        <v>-0.10000000000000142</v>
      </c>
      <c r="R118" s="4">
        <f>E118-F118</f>
        <v>1.75</v>
      </c>
      <c r="S118" s="5">
        <f t="shared" si="110"/>
        <v>6.4574999999999997E-3</v>
      </c>
      <c r="T118" s="5" t="e">
        <f t="shared" si="111"/>
        <v>#N/A</v>
      </c>
      <c r="U118" s="3">
        <f>AVERAGE(G118:H118)</f>
        <v>19.45</v>
      </c>
      <c r="V118" s="5">
        <v>4.9262555626191995E-3</v>
      </c>
    </row>
    <row r="119" spans="1:22" x14ac:dyDescent="0.3">
      <c r="A119" s="1">
        <v>45050</v>
      </c>
      <c r="B119" s="2">
        <v>0.21597222222222223</v>
      </c>
      <c r="C119">
        <v>8</v>
      </c>
      <c r="D119" t="s">
        <v>37</v>
      </c>
      <c r="E119">
        <v>6.98</v>
      </c>
      <c r="F119">
        <v>4.51</v>
      </c>
      <c r="G119" s="3">
        <v>14.7</v>
      </c>
      <c r="H119" s="3">
        <v>14.9</v>
      </c>
      <c r="I119" s="2">
        <v>0.24930555555555556</v>
      </c>
      <c r="J119" t="e">
        <f>VLOOKUP(D119,Fish_Container_info!$A$2:$E$20,4)</f>
        <v>#N/A</v>
      </c>
      <c r="K119" t="e">
        <f>VLOOKUP(D119,Fish_Container_info!$A$2:$D$20,2)</f>
        <v>#N/A</v>
      </c>
      <c r="L119" t="e">
        <f>VLOOKUP(D119,Fish_Container_info!$A$2:$D$20,3)</f>
        <v>#N/A</v>
      </c>
      <c r="M119">
        <f>VLOOKUP(C119,Fish_Container_info!$G$2:$H$45,2)</f>
        <v>3690</v>
      </c>
      <c r="N119">
        <v>1</v>
      </c>
      <c r="O119" s="2">
        <f>I119-B119</f>
        <v>3.3333333333333326E-2</v>
      </c>
      <c r="P119" s="5">
        <f t="shared" si="109"/>
        <v>3.3333333333333326E-2</v>
      </c>
      <c r="Q119" s="5">
        <f t="shared" si="75"/>
        <v>0.20000000000000107</v>
      </c>
      <c r="R119" s="4">
        <f>E119-F119</f>
        <v>2.4700000000000006</v>
      </c>
      <c r="S119" s="5">
        <f t="shared" si="110"/>
        <v>9.1143000000000023E-3</v>
      </c>
      <c r="T119" s="5" t="e">
        <f t="shared" si="111"/>
        <v>#N/A</v>
      </c>
      <c r="U119" s="3">
        <f>AVERAGE(G119:H119)</f>
        <v>14.8</v>
      </c>
      <c r="V119" s="5">
        <v>4.2723281250000023E-3</v>
      </c>
    </row>
    <row r="120" spans="1:22" x14ac:dyDescent="0.3">
      <c r="A120" s="1">
        <v>45050</v>
      </c>
      <c r="B120" s="2">
        <v>0.21875</v>
      </c>
      <c r="C120">
        <v>15</v>
      </c>
      <c r="D120" t="s">
        <v>38</v>
      </c>
      <c r="E120">
        <v>7.1</v>
      </c>
      <c r="F120">
        <v>5.51</v>
      </c>
      <c r="G120" s="3">
        <v>15.5</v>
      </c>
      <c r="H120" s="3">
        <v>15.6</v>
      </c>
      <c r="I120" s="2">
        <v>0.25416666666666665</v>
      </c>
      <c r="J120" t="e">
        <f>VLOOKUP(D120,Fish_Container_info!$A$2:$E$20,4)</f>
        <v>#N/A</v>
      </c>
      <c r="K120" t="e">
        <f>VLOOKUP(D120,Fish_Container_info!$A$2:$D$20,2)</f>
        <v>#N/A</v>
      </c>
      <c r="L120" t="e">
        <f>VLOOKUP(D120,Fish_Container_info!$A$2:$D$20,3)</f>
        <v>#N/A</v>
      </c>
      <c r="M120">
        <f>VLOOKUP(C120,Fish_Container_info!$G$2:$H$45,2)</f>
        <v>5300</v>
      </c>
      <c r="N120">
        <v>1</v>
      </c>
      <c r="O120" s="2">
        <f>I120-B120</f>
        <v>3.5416666666666652E-2</v>
      </c>
      <c r="P120" s="5">
        <f t="shared" si="109"/>
        <v>3.5416666666666652E-2</v>
      </c>
      <c r="Q120" s="5">
        <f t="shared" si="75"/>
        <v>9.9999999999999645E-2</v>
      </c>
      <c r="R120" s="4">
        <f>E120-F120</f>
        <v>1.5899999999999999</v>
      </c>
      <c r="S120" s="5">
        <f t="shared" si="110"/>
        <v>8.4270000000000005E-3</v>
      </c>
      <c r="T120" s="5" t="e">
        <f t="shared" si="111"/>
        <v>#N/A</v>
      </c>
      <c r="U120" s="3">
        <f>AVERAGE(G120:H120)</f>
        <v>15.55</v>
      </c>
      <c r="V120" s="5">
        <v>3.3942770831585146E-3</v>
      </c>
    </row>
    <row r="121" spans="1:22" x14ac:dyDescent="0.3">
      <c r="A121" s="1">
        <v>45050</v>
      </c>
      <c r="B121" s="2">
        <v>0.30486111111111108</v>
      </c>
      <c r="C121">
        <v>8</v>
      </c>
      <c r="D121" t="s">
        <v>37</v>
      </c>
      <c r="E121">
        <v>8.81</v>
      </c>
      <c r="F121">
        <v>5.8</v>
      </c>
      <c r="G121" s="3">
        <v>15.3</v>
      </c>
      <c r="H121" s="3">
        <v>15.7</v>
      </c>
      <c r="I121" s="2">
        <v>0.34166666666666662</v>
      </c>
      <c r="J121" t="e">
        <f>VLOOKUP(D121,Fish_Container_info!$A$2:$E$20,4)</f>
        <v>#N/A</v>
      </c>
      <c r="K121" t="e">
        <f>VLOOKUP(D121,Fish_Container_info!$A$2:$D$20,2)</f>
        <v>#N/A</v>
      </c>
      <c r="L121" t="e">
        <f>VLOOKUP(D121,Fish_Container_info!$A$2:$D$20,3)</f>
        <v>#N/A</v>
      </c>
      <c r="M121">
        <f>VLOOKUP(C121,Fish_Container_info!$G$2:$H$45,2)</f>
        <v>3690</v>
      </c>
      <c r="N121">
        <v>2</v>
      </c>
      <c r="O121" s="2">
        <f>I121-B121</f>
        <v>3.6805555555555536E-2</v>
      </c>
      <c r="P121" s="5">
        <f t="shared" si="109"/>
        <v>3.6805555555555536E-2</v>
      </c>
      <c r="Q121" s="5">
        <f t="shared" si="75"/>
        <v>0.39999999999999858</v>
      </c>
      <c r="R121" s="4">
        <f>E121-F121</f>
        <v>3.0100000000000007</v>
      </c>
      <c r="S121" s="5">
        <f t="shared" si="110"/>
        <v>1.1106900000000003E-2</v>
      </c>
      <c r="T121" s="5" t="e">
        <f t="shared" si="111"/>
        <v>#N/A</v>
      </c>
      <c r="U121" s="3">
        <f>AVERAGE(G121:H121)</f>
        <v>15.5</v>
      </c>
      <c r="V121" s="5">
        <v>4.7151933962264192E-3</v>
      </c>
    </row>
    <row r="122" spans="1:22" x14ac:dyDescent="0.3">
      <c r="A122" s="1">
        <v>45050</v>
      </c>
      <c r="B122" s="2">
        <v>0.30763888888888891</v>
      </c>
      <c r="C122">
        <v>15</v>
      </c>
      <c r="D122" t="s">
        <v>38</v>
      </c>
      <c r="E122">
        <v>6.8</v>
      </c>
      <c r="F122">
        <v>5.21</v>
      </c>
      <c r="G122" s="3">
        <v>15.8</v>
      </c>
      <c r="H122" s="3">
        <v>16.100000000000001</v>
      </c>
      <c r="I122" s="2">
        <v>0.3444444444444445</v>
      </c>
      <c r="J122" t="e">
        <f>VLOOKUP(D122,Fish_Container_info!$A$2:$E$20,4)</f>
        <v>#N/A</v>
      </c>
      <c r="K122" t="e">
        <f>VLOOKUP(D122,Fish_Container_info!$A$2:$D$20,2)</f>
        <v>#N/A</v>
      </c>
      <c r="L122" t="e">
        <f>VLOOKUP(D122,Fish_Container_info!$A$2:$D$20,3)</f>
        <v>#N/A</v>
      </c>
      <c r="M122">
        <f>VLOOKUP(C122,Fish_Container_info!$G$2:$H$45,2)</f>
        <v>5300</v>
      </c>
      <c r="N122">
        <v>2</v>
      </c>
      <c r="O122" s="2">
        <f>I122-B122</f>
        <v>3.6805555555555591E-2</v>
      </c>
      <c r="P122" s="5">
        <f t="shared" si="109"/>
        <v>3.6805555555555591E-2</v>
      </c>
      <c r="Q122" s="5">
        <f t="shared" si="75"/>
        <v>0.30000000000000071</v>
      </c>
      <c r="R122" s="4">
        <f>E122-F122</f>
        <v>1.5899999999999999</v>
      </c>
      <c r="S122" s="5">
        <f t="shared" si="110"/>
        <v>8.4270000000000005E-3</v>
      </c>
      <c r="T122" s="5" t="e">
        <f t="shared" si="111"/>
        <v>#N/A</v>
      </c>
      <c r="U122" s="3">
        <f>AVERAGE(G122:H122)</f>
        <v>15.950000000000001</v>
      </c>
      <c r="V122" s="5">
        <v>3.2661911554921512E-3</v>
      </c>
    </row>
    <row r="123" spans="1:22" x14ac:dyDescent="0.3">
      <c r="A123" s="1">
        <v>45050</v>
      </c>
      <c r="B123" s="2">
        <v>0.37916666666666665</v>
      </c>
      <c r="C123">
        <v>8</v>
      </c>
      <c r="D123" t="s">
        <v>37</v>
      </c>
      <c r="E123">
        <v>6.89</v>
      </c>
      <c r="F123">
        <v>3.92</v>
      </c>
      <c r="G123" s="3">
        <v>16.399999999999999</v>
      </c>
      <c r="H123" s="3">
        <v>16.8</v>
      </c>
      <c r="I123" s="2">
        <v>0.4152777777777778</v>
      </c>
      <c r="J123" t="e">
        <f>VLOOKUP(D123,Fish_Container_info!$A$2:$E$20,4)</f>
        <v>#N/A</v>
      </c>
      <c r="K123" t="e">
        <f>VLOOKUP(D123,Fish_Container_info!$A$2:$D$20,2)</f>
        <v>#N/A</v>
      </c>
      <c r="L123" t="e">
        <f>VLOOKUP(D123,Fish_Container_info!$A$2:$D$20,3)</f>
        <v>#N/A</v>
      </c>
      <c r="M123">
        <f>VLOOKUP(C123,Fish_Container_info!$G$2:$H$45,2)</f>
        <v>3690</v>
      </c>
      <c r="N123">
        <v>3</v>
      </c>
      <c r="O123" s="2">
        <f>I123-B123</f>
        <v>3.6111111111111149E-2</v>
      </c>
      <c r="P123" s="5">
        <f t="shared" si="109"/>
        <v>3.6111111111111149E-2</v>
      </c>
      <c r="Q123" s="5">
        <f t="shared" si="75"/>
        <v>0.40000000000000213</v>
      </c>
      <c r="R123" s="4">
        <f>E123-F123</f>
        <v>2.9699999999999998</v>
      </c>
      <c r="S123" s="5">
        <f t="shared" si="110"/>
        <v>1.0959299999999998E-2</v>
      </c>
      <c r="T123" s="5" t="e">
        <f t="shared" si="111"/>
        <v>#N/A</v>
      </c>
      <c r="U123" s="3">
        <f>AVERAGE(G123:H123)</f>
        <v>16.600000000000001</v>
      </c>
      <c r="V123" s="5">
        <v>4.7420048076923021E-3</v>
      </c>
    </row>
    <row r="124" spans="1:22" x14ac:dyDescent="0.3">
      <c r="A124" s="1">
        <v>45050</v>
      </c>
      <c r="B124" s="2">
        <v>0.38125000000000003</v>
      </c>
      <c r="C124">
        <v>15</v>
      </c>
      <c r="D124" t="s">
        <v>38</v>
      </c>
      <c r="E124">
        <v>8.0399999999999991</v>
      </c>
      <c r="F124">
        <v>6.12</v>
      </c>
      <c r="G124" s="3">
        <v>16.5</v>
      </c>
      <c r="H124" s="3">
        <v>16.8</v>
      </c>
      <c r="I124" s="2">
        <v>0.41736111111111113</v>
      </c>
      <c r="J124" t="e">
        <f>VLOOKUP(D124,Fish_Container_info!$A$2:$E$20,4)</f>
        <v>#N/A</v>
      </c>
      <c r="K124" t="e">
        <f>VLOOKUP(D124,Fish_Container_info!$A$2:$D$20,2)</f>
        <v>#N/A</v>
      </c>
      <c r="L124" t="e">
        <f>VLOOKUP(D124,Fish_Container_info!$A$2:$D$20,3)</f>
        <v>#N/A</v>
      </c>
      <c r="M124">
        <f>VLOOKUP(C124,Fish_Container_info!$G$2:$H$45,2)</f>
        <v>5300</v>
      </c>
      <c r="N124">
        <v>3</v>
      </c>
      <c r="O124" s="2">
        <f>I124-B124</f>
        <v>3.6111111111111094E-2</v>
      </c>
      <c r="P124" s="5">
        <f t="shared" si="109"/>
        <v>3.6111111111111094E-2</v>
      </c>
      <c r="Q124" s="5">
        <f t="shared" si="75"/>
        <v>0.30000000000000071</v>
      </c>
      <c r="R124" s="4">
        <f>E124-F124</f>
        <v>1.919999999999999</v>
      </c>
      <c r="S124" s="5">
        <f t="shared" si="110"/>
        <v>1.0175999999999994E-2</v>
      </c>
      <c r="T124" s="5" t="e">
        <f t="shared" si="111"/>
        <v>#N/A</v>
      </c>
      <c r="U124" s="3">
        <f>AVERAGE(G124:H124)</f>
        <v>16.649999999999999</v>
      </c>
      <c r="V124" s="5">
        <v>4.0199275759903435E-3</v>
      </c>
    </row>
    <row r="125" spans="1:22" x14ac:dyDescent="0.3">
      <c r="A125" s="1">
        <v>45050</v>
      </c>
      <c r="B125" s="2">
        <v>0.45833333333333331</v>
      </c>
      <c r="C125">
        <v>15</v>
      </c>
      <c r="D125" t="s">
        <v>38</v>
      </c>
      <c r="E125">
        <v>8.11</v>
      </c>
      <c r="F125">
        <v>6.87</v>
      </c>
      <c r="G125" s="3">
        <v>17.399999999999999</v>
      </c>
      <c r="H125" s="3">
        <v>17.7</v>
      </c>
      <c r="I125" s="2">
        <v>0.48402777777777778</v>
      </c>
      <c r="J125" t="e">
        <f>VLOOKUP(D125,Fish_Container_info!$A$2:$E$20,4)</f>
        <v>#N/A</v>
      </c>
      <c r="K125" t="e">
        <f>VLOOKUP(D125,Fish_Container_info!$A$2:$D$20,2)</f>
        <v>#N/A</v>
      </c>
      <c r="L125" t="e">
        <f>VLOOKUP(D125,Fish_Container_info!$A$2:$D$20,3)</f>
        <v>#N/A</v>
      </c>
      <c r="M125">
        <f>VLOOKUP(C125,Fish_Container_info!$G$2:$H$45,2)</f>
        <v>5300</v>
      </c>
      <c r="N125">
        <v>4</v>
      </c>
      <c r="O125" s="2">
        <f>I125-B125</f>
        <v>2.5694444444444464E-2</v>
      </c>
      <c r="P125" s="5">
        <f t="shared" si="109"/>
        <v>2.5694444444444464E-2</v>
      </c>
      <c r="Q125" s="5">
        <f t="shared" si="75"/>
        <v>0.30000000000000071</v>
      </c>
      <c r="R125" s="4">
        <f>E125-F125</f>
        <v>1.2399999999999993</v>
      </c>
      <c r="S125" s="5">
        <f t="shared" si="110"/>
        <v>6.5719999999999962E-3</v>
      </c>
      <c r="T125" s="5" t="e">
        <f t="shared" si="111"/>
        <v>#N/A</v>
      </c>
      <c r="U125" s="3">
        <f>AVERAGE(G125:H125)</f>
        <v>17.549999999999997</v>
      </c>
      <c r="V125" s="5">
        <v>3.6487180475768162E-3</v>
      </c>
    </row>
    <row r="126" spans="1:22" x14ac:dyDescent="0.3">
      <c r="A126" s="1">
        <v>45050</v>
      </c>
      <c r="B126" s="2">
        <v>0.66388888888888886</v>
      </c>
      <c r="C126">
        <v>8</v>
      </c>
      <c r="D126" t="s">
        <v>37</v>
      </c>
      <c r="E126">
        <v>7.5</v>
      </c>
      <c r="F126">
        <v>3.4</v>
      </c>
      <c r="G126" s="3">
        <v>18.899999999999999</v>
      </c>
      <c r="H126" s="3">
        <v>18.8</v>
      </c>
      <c r="I126" s="2">
        <v>0.69930555555555562</v>
      </c>
      <c r="J126" t="e">
        <f>VLOOKUP(D126,Fish_Container_info!$A$2:$E$20,4)</f>
        <v>#N/A</v>
      </c>
      <c r="K126" t="e">
        <f>VLOOKUP(D126,Fish_Container_info!$A$2:$D$20,2)</f>
        <v>#N/A</v>
      </c>
      <c r="L126" t="e">
        <f>VLOOKUP(D126,Fish_Container_info!$A$2:$D$20,3)</f>
        <v>#N/A</v>
      </c>
      <c r="M126">
        <f>VLOOKUP(C126,Fish_Container_info!$G$2:$H$45,2)</f>
        <v>3690</v>
      </c>
      <c r="N126">
        <v>4</v>
      </c>
      <c r="O126" s="2">
        <f>I126-B126</f>
        <v>3.5416666666666763E-2</v>
      </c>
      <c r="P126" s="5">
        <f t="shared" si="109"/>
        <v>3.5416666666666763E-2</v>
      </c>
      <c r="Q126" s="5">
        <f t="shared" si="75"/>
        <v>-9.9999999999997868E-2</v>
      </c>
      <c r="R126" s="4">
        <f>E126-F126</f>
        <v>4.0999999999999996</v>
      </c>
      <c r="S126" s="5">
        <f t="shared" si="110"/>
        <v>1.5128999999999998E-2</v>
      </c>
      <c r="T126" s="5" t="e">
        <f t="shared" si="111"/>
        <v>#N/A</v>
      </c>
      <c r="U126" s="3">
        <f>AVERAGE(G126:H126)</f>
        <v>18.850000000000001</v>
      </c>
      <c r="V126" s="5">
        <v>6.6745588235293928E-3</v>
      </c>
    </row>
    <row r="127" spans="1:22" x14ac:dyDescent="0.3">
      <c r="A127" s="1">
        <v>45050</v>
      </c>
      <c r="B127" s="2">
        <v>0.66666666666666663</v>
      </c>
      <c r="C127">
        <v>15</v>
      </c>
      <c r="D127" t="s">
        <v>38</v>
      </c>
      <c r="E127">
        <v>6.2</v>
      </c>
      <c r="F127">
        <v>4.4400000000000004</v>
      </c>
      <c r="G127" s="3">
        <v>18.7</v>
      </c>
      <c r="H127" s="3">
        <v>18.600000000000001</v>
      </c>
      <c r="I127" s="2">
        <v>0.70138888888888884</v>
      </c>
      <c r="J127" t="e">
        <f>VLOOKUP(D127,Fish_Container_info!$A$2:$E$20,4)</f>
        <v>#N/A</v>
      </c>
      <c r="K127" t="e">
        <f>VLOOKUP(D127,Fish_Container_info!$A$2:$D$20,2)</f>
        <v>#N/A</v>
      </c>
      <c r="L127" t="e">
        <f>VLOOKUP(D127,Fish_Container_info!$A$2:$D$20,3)</f>
        <v>#N/A</v>
      </c>
      <c r="M127">
        <f>VLOOKUP(C127,Fish_Container_info!$G$2:$H$45,2)</f>
        <v>5300</v>
      </c>
      <c r="N127">
        <v>5</v>
      </c>
      <c r="O127" s="2">
        <f>I127-B127</f>
        <v>3.472222222222221E-2</v>
      </c>
      <c r="P127" s="5">
        <f t="shared" si="109"/>
        <v>3.472222222222221E-2</v>
      </c>
      <c r="Q127" s="5">
        <f>H127-G127</f>
        <v>-9.9999999999997868E-2</v>
      </c>
      <c r="R127" s="4">
        <f>E127-F127</f>
        <v>1.7599999999999998</v>
      </c>
      <c r="S127" s="5">
        <f t="shared" si="110"/>
        <v>9.3279999999999995E-3</v>
      </c>
      <c r="T127" s="5" t="e">
        <f t="shared" si="111"/>
        <v>#N/A</v>
      </c>
      <c r="U127" s="3">
        <f>AVERAGE(G127:H127)</f>
        <v>18.649999999999999</v>
      </c>
      <c r="V127" s="5">
        <v>3.8323309557774621E-3</v>
      </c>
    </row>
  </sheetData>
  <sortState xmlns:xlrd2="http://schemas.microsoft.com/office/spreadsheetml/2017/richdata2" ref="A2:U127">
    <sortCondition ref="J2:J12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D14" sqref="D14"/>
    </sheetView>
  </sheetViews>
  <sheetFormatPr defaultRowHeight="14.4" x14ac:dyDescent="0.3"/>
  <cols>
    <col min="3" max="3" width="10.44140625" bestFit="1" customWidth="1"/>
    <col min="5" max="5" width="19.44140625" bestFit="1" customWidth="1"/>
    <col min="6" max="6" width="19.44140625" customWidth="1"/>
  </cols>
  <sheetData>
    <row r="1" spans="1:8" x14ac:dyDescent="0.3">
      <c r="A1" t="s">
        <v>0</v>
      </c>
      <c r="B1" t="s">
        <v>4</v>
      </c>
      <c r="C1" t="s">
        <v>19</v>
      </c>
      <c r="D1" t="s">
        <v>20</v>
      </c>
      <c r="E1" t="s">
        <v>1</v>
      </c>
      <c r="G1" t="s">
        <v>4</v>
      </c>
      <c r="H1" t="s">
        <v>21</v>
      </c>
    </row>
    <row r="2" spans="1:8" x14ac:dyDescent="0.3">
      <c r="A2" t="s">
        <v>28</v>
      </c>
      <c r="B2">
        <v>10</v>
      </c>
      <c r="C2">
        <v>56</v>
      </c>
      <c r="D2">
        <v>1.5</v>
      </c>
      <c r="E2" t="s">
        <v>16</v>
      </c>
      <c r="G2">
        <v>1</v>
      </c>
      <c r="H2">
        <v>582</v>
      </c>
    </row>
    <row r="3" spans="1:8" x14ac:dyDescent="0.3">
      <c r="A3" t="s">
        <v>30</v>
      </c>
      <c r="B3">
        <v>12</v>
      </c>
      <c r="C3">
        <v>65</v>
      </c>
      <c r="D3">
        <v>2.2000000000000002</v>
      </c>
      <c r="E3" t="s">
        <v>16</v>
      </c>
      <c r="G3">
        <v>2</v>
      </c>
      <c r="H3">
        <v>406</v>
      </c>
    </row>
    <row r="4" spans="1:8" x14ac:dyDescent="0.3">
      <c r="A4" t="s">
        <v>18</v>
      </c>
      <c r="B4">
        <v>3</v>
      </c>
      <c r="C4">
        <v>66</v>
      </c>
      <c r="D4">
        <v>2.2999999999999998</v>
      </c>
      <c r="E4" t="s">
        <v>16</v>
      </c>
      <c r="G4">
        <v>3</v>
      </c>
      <c r="H4">
        <v>362</v>
      </c>
    </row>
    <row r="5" spans="1:8" x14ac:dyDescent="0.3">
      <c r="A5" t="s">
        <v>17</v>
      </c>
      <c r="B5">
        <v>2</v>
      </c>
      <c r="C5">
        <v>67</v>
      </c>
      <c r="D5">
        <v>2.2000000000000002</v>
      </c>
      <c r="E5" t="s">
        <v>16</v>
      </c>
      <c r="G5">
        <v>4</v>
      </c>
      <c r="H5">
        <v>362</v>
      </c>
    </row>
    <row r="6" spans="1:8" x14ac:dyDescent="0.3">
      <c r="A6" t="s">
        <v>27</v>
      </c>
      <c r="B6">
        <v>9</v>
      </c>
      <c r="C6">
        <v>67</v>
      </c>
      <c r="D6">
        <v>2.7</v>
      </c>
      <c r="E6" t="s">
        <v>16</v>
      </c>
      <c r="G6">
        <v>5</v>
      </c>
      <c r="H6">
        <v>3690</v>
      </c>
    </row>
    <row r="7" spans="1:8" x14ac:dyDescent="0.3">
      <c r="A7" t="s">
        <v>32</v>
      </c>
      <c r="B7">
        <v>4</v>
      </c>
      <c r="C7">
        <v>73</v>
      </c>
      <c r="D7">
        <v>3</v>
      </c>
      <c r="E7" t="s">
        <v>16</v>
      </c>
      <c r="G7">
        <v>6</v>
      </c>
      <c r="H7">
        <v>2340</v>
      </c>
    </row>
    <row r="8" spans="1:8" x14ac:dyDescent="0.3">
      <c r="A8" t="s">
        <v>15</v>
      </c>
      <c r="B8">
        <v>1</v>
      </c>
      <c r="C8">
        <v>76</v>
      </c>
      <c r="D8">
        <v>3.4</v>
      </c>
      <c r="E8" t="s">
        <v>16</v>
      </c>
      <c r="G8">
        <v>7</v>
      </c>
      <c r="H8">
        <v>2340</v>
      </c>
    </row>
    <row r="9" spans="1:8" x14ac:dyDescent="0.3">
      <c r="A9" t="s">
        <v>31</v>
      </c>
      <c r="B9">
        <v>1</v>
      </c>
      <c r="C9">
        <v>80</v>
      </c>
      <c r="D9">
        <v>3.7</v>
      </c>
      <c r="E9" t="s">
        <v>16</v>
      </c>
      <c r="G9">
        <v>8</v>
      </c>
      <c r="H9">
        <v>3690</v>
      </c>
    </row>
    <row r="10" spans="1:8" x14ac:dyDescent="0.3">
      <c r="A10" t="s">
        <v>29</v>
      </c>
      <c r="B10">
        <v>11</v>
      </c>
      <c r="C10">
        <v>83</v>
      </c>
      <c r="D10">
        <v>4.7</v>
      </c>
      <c r="E10" t="s">
        <v>16</v>
      </c>
      <c r="G10">
        <v>9</v>
      </c>
      <c r="H10">
        <v>372</v>
      </c>
    </row>
    <row r="11" spans="1:8" x14ac:dyDescent="0.3">
      <c r="A11" t="s">
        <v>36</v>
      </c>
      <c r="B11">
        <v>7</v>
      </c>
      <c r="C11">
        <v>114</v>
      </c>
      <c r="D11">
        <v>13.1</v>
      </c>
      <c r="E11" t="s">
        <v>26</v>
      </c>
      <c r="G11">
        <v>10</v>
      </c>
      <c r="H11">
        <v>374</v>
      </c>
    </row>
    <row r="12" spans="1:8" x14ac:dyDescent="0.3">
      <c r="A12" t="s">
        <v>33</v>
      </c>
      <c r="B12">
        <v>13</v>
      </c>
      <c r="C12">
        <v>115</v>
      </c>
      <c r="D12">
        <v>13</v>
      </c>
      <c r="E12" t="s">
        <v>26</v>
      </c>
      <c r="G12">
        <v>11</v>
      </c>
      <c r="H12">
        <v>384</v>
      </c>
    </row>
    <row r="13" spans="1:8" x14ac:dyDescent="0.3">
      <c r="A13" t="s">
        <v>34</v>
      </c>
      <c r="B13">
        <v>14</v>
      </c>
      <c r="C13">
        <v>116</v>
      </c>
      <c r="D13">
        <v>13.5</v>
      </c>
      <c r="E13" t="s">
        <v>26</v>
      </c>
      <c r="G13">
        <v>12</v>
      </c>
      <c r="H13">
        <v>376</v>
      </c>
    </row>
    <row r="14" spans="1:8" x14ac:dyDescent="0.3">
      <c r="A14" t="s">
        <v>22</v>
      </c>
      <c r="B14">
        <v>6</v>
      </c>
      <c r="C14">
        <v>142</v>
      </c>
      <c r="D14">
        <v>25.3</v>
      </c>
      <c r="E14" t="s">
        <v>26</v>
      </c>
      <c r="G14">
        <v>13</v>
      </c>
      <c r="H14">
        <v>1370</v>
      </c>
    </row>
    <row r="15" spans="1:8" x14ac:dyDescent="0.3">
      <c r="A15" t="s">
        <v>23</v>
      </c>
      <c r="B15">
        <v>7</v>
      </c>
      <c r="C15">
        <v>142</v>
      </c>
      <c r="D15">
        <v>26.1</v>
      </c>
      <c r="E15" t="s">
        <v>26</v>
      </c>
      <c r="G15">
        <v>14</v>
      </c>
      <c r="H15">
        <v>1370</v>
      </c>
    </row>
    <row r="16" spans="1:8" x14ac:dyDescent="0.3">
      <c r="A16" t="s">
        <v>35</v>
      </c>
      <c r="B16">
        <v>5</v>
      </c>
      <c r="C16">
        <v>160</v>
      </c>
      <c r="D16">
        <v>34.5</v>
      </c>
      <c r="E16" t="s">
        <v>26</v>
      </c>
      <c r="G16">
        <v>15</v>
      </c>
      <c r="H16">
        <v>5300</v>
      </c>
    </row>
    <row r="17" spans="1:5" x14ac:dyDescent="0.3">
      <c r="A17" t="s">
        <v>24</v>
      </c>
      <c r="B17">
        <v>8</v>
      </c>
      <c r="C17">
        <v>163</v>
      </c>
      <c r="D17">
        <v>42.9</v>
      </c>
      <c r="E17" t="s">
        <v>25</v>
      </c>
    </row>
    <row r="18" spans="1:5" x14ac:dyDescent="0.3">
      <c r="A18" t="s">
        <v>37</v>
      </c>
      <c r="B18">
        <v>8</v>
      </c>
      <c r="C18">
        <v>184</v>
      </c>
      <c r="D18">
        <v>64</v>
      </c>
      <c r="E18" t="s">
        <v>25</v>
      </c>
    </row>
    <row r="19" spans="1:5" x14ac:dyDescent="0.3">
      <c r="A19" t="s">
        <v>38</v>
      </c>
      <c r="B19">
        <v>15</v>
      </c>
      <c r="C19">
        <v>206</v>
      </c>
      <c r="D19">
        <v>70.099999999999994</v>
      </c>
      <c r="E19" t="s">
        <v>25</v>
      </c>
    </row>
  </sheetData>
  <sortState xmlns:xlrd2="http://schemas.microsoft.com/office/spreadsheetml/2017/richdata2" ref="A2:E19">
    <sortCondition ref="C1:C1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Full_data</vt:lpstr>
      <vt:lpstr>Fish_Container_info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Jensen</dc:creator>
  <cp:lastModifiedBy>Lucas Fischer</cp:lastModifiedBy>
  <dcterms:created xsi:type="dcterms:W3CDTF">2023-05-02T08:19:28Z</dcterms:created>
  <dcterms:modified xsi:type="dcterms:W3CDTF">2026-03-31T22:03:56Z</dcterms:modified>
</cp:coreProperties>
</file>